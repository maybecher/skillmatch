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guntas" sheetId="1" state="visible" r:id="rId3"/>
    <sheet name="Modalidades" sheetId="2" state="visible" r:id="rId4"/>
  </sheets>
  <definedNames>
    <definedName function="false" hidden="true" localSheetId="0" name="_xlnm._FilterDatabase" vbProcedure="false">Perguntas!$A$4:$F$100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<sst xmlns="http://schemas.openxmlformats.org/spreadsheetml/2006/main" count="334" uniqueCount="148">
  <si>
    <t xml:space="preserve">Jogo vocacional SP Skills 2028 · Perguntas e respostas</t>
  </si>
  <si>
    <t xml:space="preserve">Edite as células amarelas: texto da pergunta, texto da resposta e a modalidade (lista suspensa). Código e Verificação são automáticos; a Verificação avisa se uma modalidade se repete na mesma pergunta.</t>
  </si>
  <si>
    <t xml:space="preserve">Nº</t>
  </si>
  <si>
    <t xml:space="preserve">Pergunta</t>
  </si>
  <si>
    <t xml:space="preserve">Resposta</t>
  </si>
  <si>
    <t xml:space="preserve">Modalidade</t>
  </si>
  <si>
    <t xml:space="preserve">Código</t>
  </si>
  <si>
    <t xml:space="preserve">Verificação</t>
  </si>
  <si>
    <t xml:space="preserve">Num trabalho em grupo da escola, você costuma…</t>
  </si>
  <si>
    <t xml:space="preserve">Inventar a história e os personagens do trabalho</t>
  </si>
  <si>
    <t xml:space="preserve">3D Game Art</t>
  </si>
  <si>
    <t xml:space="preserve">Pensar em como explicar para quem não sabe nada do assunto</t>
  </si>
  <si>
    <t xml:space="preserve">Desenvolvimento de Aplicativos Móveis</t>
  </si>
  <si>
    <t xml:space="preserve">Juntar tudo num lugar só, bem organizado, onde todo mundo acessa</t>
  </si>
  <si>
    <t xml:space="preserve">Tech Web</t>
  </si>
  <si>
    <t xml:space="preserve">Montar o cronograma: quem faz o quê e quando</t>
  </si>
  <si>
    <t xml:space="preserve">Controle Industrial</t>
  </si>
  <si>
    <t xml:space="preserve">Revisar tudo para ter certeza de que está certo</t>
  </si>
  <si>
    <t xml:space="preserve">Instalações Elétricas</t>
  </si>
  <si>
    <t xml:space="preserve">Ficar com a parte que precisa construir alguma coisa</t>
  </si>
  <si>
    <t xml:space="preserve">Mecatrônica</t>
  </si>
  <si>
    <t xml:space="preserve">Juntar a parte de cada um e ver se tudo se encaixa</t>
  </si>
  <si>
    <t xml:space="preserve">Indústria 4.0</t>
  </si>
  <si>
    <t xml:space="preserve">Rabiscar como a ideia ficaria se fosse algo de verdade</t>
  </si>
  <si>
    <t xml:space="preserve">Design de Produtos</t>
  </si>
  <si>
    <t xml:space="preserve">No celular, o que você mais faz?</t>
  </si>
  <si>
    <t xml:space="preserve">Jogo coisas com mundos grandes para explorar</t>
  </si>
  <si>
    <t xml:space="preserve">Reparo quando um botão está no lugar errado</t>
  </si>
  <si>
    <t xml:space="preserve">Fico pulando de link em link, pesquisando</t>
  </si>
  <si>
    <t xml:space="preserve">Deixo tudo programado para acontecer no horário certo</t>
  </si>
  <si>
    <t xml:space="preserve">Vejo vídeos de antes e depois de reformas</t>
  </si>
  <si>
    <t xml:space="preserve">Vejo vídeos de gente consertando coisas</t>
  </si>
  <si>
    <t xml:space="preserve">Acompanho meus números: passos, tempo de tela, rankings</t>
  </si>
  <si>
    <t xml:space="preserve">Salvo fotos de objetos bonitos e bem pensados</t>
  </si>
  <si>
    <t xml:space="preserve">Qual atividade te prende por horas sem você perceber?</t>
  </si>
  <si>
    <t xml:space="preserve">Imaginar histórias e como seriam os personagens</t>
  </si>
  <si>
    <t xml:space="preserve">Pensar em soluções para pequenos problemas do dia a dia</t>
  </si>
  <si>
    <t xml:space="preserve">Arrumar e personalizar meu perfil nas redes</t>
  </si>
  <si>
    <t xml:space="preserve">Sudoku, quebra-cabeças e desafios de lógica</t>
  </si>
  <si>
    <t xml:space="preserve">Ajudar em casa quando algo precisa ser instalado</t>
  </si>
  <si>
    <t xml:space="preserve">Montar coisas seguindo o manual, como móveis ou Lego</t>
  </si>
  <si>
    <t xml:space="preserve">Jogos em que você administra uma cidade ou empresa</t>
  </si>
  <si>
    <t xml:space="preserve">Criar coisas com papelão, massinha ou sucata</t>
  </si>
  <si>
    <t xml:space="preserve">Você ganhou um presente para escolher. Qual leva?</t>
  </si>
  <si>
    <t xml:space="preserve">Um caderno de desenho com lápis bons</t>
  </si>
  <si>
    <t xml:space="preserve">Um celular novo</t>
  </si>
  <si>
    <t xml:space="preserve">Um computador mais rápido</t>
  </si>
  <si>
    <t xml:space="preserve">Luzes que acendem e mudam sozinhas no quarto</t>
  </si>
  <si>
    <t xml:space="preserve">Um kit de ferramentas</t>
  </si>
  <si>
    <t xml:space="preserve">Um carrinho para montar que anda sozinho</t>
  </si>
  <si>
    <t xml:space="preserve">Um relógio que mede tudo e mostra em gráficos</t>
  </si>
  <si>
    <t xml:space="preserve">Um kit de materiais para criar e montar ideias</t>
  </si>
  <si>
    <t xml:space="preserve">Você se considera uma pessoa mais…</t>
  </si>
  <si>
    <t xml:space="preserve">Criativa e sonhadora</t>
  </si>
  <si>
    <t xml:space="preserve">Comunicativa, que pensa nos outros</t>
  </si>
  <si>
    <t xml:space="preserve">Curiosa, que vive pesquisando</t>
  </si>
  <si>
    <t xml:space="preserve">Lógica e metódica</t>
  </si>
  <si>
    <t xml:space="preserve">Cuidadosa e responsável</t>
  </si>
  <si>
    <t xml:space="preserve">Habilidosa com as mãos</t>
  </si>
  <si>
    <t xml:space="preserve">Líder, que enxerga o todo</t>
  </si>
  <si>
    <t xml:space="preserve">Observadora, que repara nos detalhes</t>
  </si>
  <si>
    <t xml:space="preserve">Como seria o seu dia de trabalho ideal?</t>
  </si>
  <si>
    <t xml:space="preserve">Criando algo do zero que ninguém nunca viu</t>
  </si>
  <si>
    <t xml:space="preserve">Conversando com pessoas para entender o que elas precisam</t>
  </si>
  <si>
    <t xml:space="preserve">No computador, construindo algo que qualquer um pode acessar</t>
  </si>
  <si>
    <t xml:space="preserve">Garantindo que tudo aconteça na ordem certa</t>
  </si>
  <si>
    <t xml:space="preserve">Cada dia num lugar diferente, deixando tudo funcionando</t>
  </si>
  <si>
    <t xml:space="preserve">Com ferramentas na mão, ajustando e consertando</t>
  </si>
  <si>
    <t xml:space="preserve">Acompanhando tudo numa tela grande e tomando decisões</t>
  </si>
  <si>
    <t xml:space="preserve">Desenhando, testando e refazendo até ficar perfeito</t>
  </si>
  <si>
    <t xml:space="preserve">O que te deixaria mais satisfeito no fim do dia?</t>
  </si>
  <si>
    <t xml:space="preserve">Ver algo que só existia na minha cabeça ganhar forma</t>
  </si>
  <si>
    <t xml:space="preserve">Alguém dizer que o que eu fiz facilitou a vida dele</t>
  </si>
  <si>
    <t xml:space="preserve">Mandar um link e todo mundo ver o que eu fiz</t>
  </si>
  <si>
    <t xml:space="preserve">Algo que eu fazia na mão agora acontecer sozinho</t>
  </si>
  <si>
    <t xml:space="preserve">Ligar e tudo funcionar de primeira, sem risco</t>
  </si>
  <si>
    <t xml:space="preserve">Uma coisa parada voltar a funcionar</t>
  </si>
  <si>
    <t xml:space="preserve">Ver várias partes trabalhando juntas, sem falha</t>
  </si>
  <si>
    <t xml:space="preserve">Pegar na mão uma coisa que eu inventei</t>
  </si>
  <si>
    <t xml:space="preserve">Num filme, no que você mais repara?</t>
  </si>
  <si>
    <t xml:space="preserve">Nos cenários e nas criaturas</t>
  </si>
  <si>
    <t xml:space="preserve">Em como os personagens se comunicam e resolvem tudo rápido</t>
  </si>
  <si>
    <t xml:space="preserve">Nas cenas de investigação, procurando pistas</t>
  </si>
  <si>
    <t xml:space="preserve">Nos painéis cheios de botões e luzes piscando</t>
  </si>
  <si>
    <t xml:space="preserve">Na cena em que a energia cai e alguém precisa religar</t>
  </si>
  <si>
    <t xml:space="preserve">Nas perseguições com carros e máquinas</t>
  </si>
  <si>
    <t xml:space="preserve">Nas cidades do futuro, onde tudo é conectado</t>
  </si>
  <si>
    <t xml:space="preserve">Nos objetos e aparelhos diferentes que aparecem</t>
  </si>
  <si>
    <t xml:space="preserve">Você prefere trabalhar…</t>
  </si>
  <si>
    <t xml:space="preserve">Sozinho, de fone, no meu mundo</t>
  </si>
  <si>
    <t xml:space="preserve">Ouvindo a opinião de quem vai usar</t>
  </si>
  <si>
    <t xml:space="preserve">Resolvendo um problema de cada vez, com calma</t>
  </si>
  <si>
    <t xml:space="preserve">Com regras e etapas bem definidas</t>
  </si>
  <si>
    <t xml:space="preserve">Em movimento, cada dia num lugar</t>
  </si>
  <si>
    <t xml:space="preserve">Em dupla, um ajudando o outro</t>
  </si>
  <si>
    <t xml:space="preserve">Em equipe, cada um com uma função</t>
  </si>
  <si>
    <t xml:space="preserve">Testando várias versões até achar a melhor</t>
  </si>
  <si>
    <t xml:space="preserve">Qual frase mais combina com você?</t>
  </si>
  <si>
    <t xml:space="preserve">Eu crio mundos na minha cabeça</t>
  </si>
  <si>
    <t xml:space="preserve">Isso podia ser mais simples</t>
  </si>
  <si>
    <t xml:space="preserve">Deixa que eu pesquiso</t>
  </si>
  <si>
    <t xml:space="preserve">Cada coisa no seu lugar e na hora certa</t>
  </si>
  <si>
    <t xml:space="preserve">Melhor prevenir do que remediar</t>
  </si>
  <si>
    <t xml:space="preserve">Deixa eu abrir para ver por dentro</t>
  </si>
  <si>
    <t xml:space="preserve">Tudo está conectado</t>
  </si>
  <si>
    <t xml:space="preserve">Isso podia ter um formato melhor</t>
  </si>
  <si>
    <t xml:space="preserve">Andando pela cidade, o que chama a sua atenção?</t>
  </si>
  <si>
    <t xml:space="preserve">Os grafites e a arte nas paredes</t>
  </si>
  <si>
    <t xml:space="preserve">Como as pessoas se viram na correria do dia a dia</t>
  </si>
  <si>
    <t xml:space="preserve">As placas e anúncios cheios de informação</t>
  </si>
  <si>
    <t xml:space="preserve">Semáforos, catracas e portas que abrem sozinhas</t>
  </si>
  <si>
    <t xml:space="preserve">Os fios nos postes e os prédios em construção</t>
  </si>
  <si>
    <t xml:space="preserve">Ônibus, motos e máquinas de obra</t>
  </si>
  <si>
    <t xml:space="preserve">Como tudo funciona junto: trânsito, entregas, filas</t>
  </si>
  <si>
    <t xml:space="preserve">Bancos, lixeiras e outros objetos espalhados pela cidade</t>
  </si>
  <si>
    <t xml:space="preserve">Se a escola criasse uma matéria nova, qual você escolheria?</t>
  </si>
  <si>
    <t xml:space="preserve">Criação de histórias e personagens</t>
  </si>
  <si>
    <t xml:space="preserve">Comportamento das pessoas</t>
  </si>
  <si>
    <t xml:space="preserve">Comunicação e informação</t>
  </si>
  <si>
    <t xml:space="preserve">Lógica e raciocínio</t>
  </si>
  <si>
    <t xml:space="preserve">Energia: de onde vem e como chega em casa</t>
  </si>
  <si>
    <t xml:space="preserve">Como as máquinas funcionam</t>
  </si>
  <si>
    <t xml:space="preserve">Tecnologia e o futuro do trabalho</t>
  </si>
  <si>
    <t xml:space="preserve">Invenções e criação de objetos</t>
  </si>
  <si>
    <t xml:space="preserve">Modalidades da seletiva</t>
  </si>
  <si>
    <t xml:space="preserve">A coluna Nome alimenta a lista suspensa da aba Perguntas. A idade vem do formulário de inscrição; Design de Produtos não consta nele.</t>
  </si>
  <si>
    <t xml:space="preserve">Nome</t>
  </si>
  <si>
    <t xml:space="preserve">Idade máxima</t>
  </si>
  <si>
    <t xml:space="preserve">Chave no código</t>
  </si>
  <si>
    <t xml:space="preserve">#50</t>
  </si>
  <si>
    <t xml:space="preserve">até 20 anos em 2028</t>
  </si>
  <si>
    <t xml:space="preserve">game</t>
  </si>
  <si>
    <t xml:space="preserve">#08</t>
  </si>
  <si>
    <t xml:space="preserve">app</t>
  </si>
  <si>
    <t xml:space="preserve">#17</t>
  </si>
  <si>
    <t xml:space="preserve">web</t>
  </si>
  <si>
    <t xml:space="preserve">#19</t>
  </si>
  <si>
    <t xml:space="preserve">ctrl</t>
  </si>
  <si>
    <t xml:space="preserve">#18</t>
  </si>
  <si>
    <t xml:space="preserve">elet</t>
  </si>
  <si>
    <t xml:space="preserve">#04</t>
  </si>
  <si>
    <t xml:space="preserve">até 22 anos em 2028</t>
  </si>
  <si>
    <t xml:space="preserve">mec</t>
  </si>
  <si>
    <t xml:space="preserve">#48</t>
  </si>
  <si>
    <t xml:space="preserve">i40</t>
  </si>
  <si>
    <t xml:space="preserve">#59</t>
  </si>
  <si>
    <t xml:space="preserve">confirme com a coordenação</t>
  </si>
  <si>
    <t xml:space="preserve">prod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</si>
</sst>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0D66"/>
      <name val="Arial"/>
      <family val="0"/>
      <charset val="1"/>
    </font>
    <font>
      <i val="true"/>
      <sz val="9"/>
      <color rgb="FF6B5A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A0D66"/>
        <bgColor rgb="FF800080"/>
      </patternFill>
    </fill>
    <fill>
      <patternFill patternType="solid">
        <fgColor rgb="FFFFF9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A0D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C"/>
          <bgColor rgb="FF000000"/>
        </patternFill>
      </fill>
    </dxf>
    <dxf>
      <font>
        <name val="Arial"/>
        <charset val="1"/>
        <family val="0"/>
        <b val="1"/>
        <color rgb="FFD51067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51067"/>
      <rgbColor rgb="FFFFF9CC"/>
      <rgbColor rgb="FFCCFFFF"/>
      <rgbColor rgb="FF4A0D66"/>
      <rgbColor rgb="FFFF8080"/>
      <rgbColor rgb="FF0066CC"/>
      <rgbColor rgb="FFD9D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s">
        <v>8</v>
      </c>
      <c r="C5" s="5" t="s">
        <v>9</v>
      </c>
      <c r="D5" s="6" t="s">
        <v>10</v>
      </c>
      <c r="E5" s="4" t="str">
        <f aca="false">IFERROR(INDEX(Modalidades!$B$5:$B$12,MATCH(D5,Modalidades!$A$5:$A$12,0)),"?")</f>
        <v>#50</v>
      </c>
      <c r="F5" s="7" t="str">
        <f aca="false">IF(COUNTIFS($A$5:$A$100,A5,$D$5:$D$100,D5)&gt;1,"Repetida","OK")</f>
        <v>OK</v>
      </c>
    </row>
    <row r="6" customFormat="false" ht="15" hidden="false" customHeight="false" outlineLevel="0" collapsed="false">
      <c r="A6" s="4" t="n">
        <v>1</v>
      </c>
      <c r="B6" s="5" t="s">
        <v>8</v>
      </c>
      <c r="C6" s="5" t="s">
        <v>11</v>
      </c>
      <c r="D6" s="6" t="s">
        <v>12</v>
      </c>
      <c r="E6" s="4" t="str">
        <f aca="false">IFERROR(INDEX(Modalidades!$B$5:$B$12,MATCH(D6,Modalidades!$A$5:$A$12,0)),"?")</f>
        <v>#08</v>
      </c>
      <c r="F6" s="7" t="str">
        <f aca="false">IF(COUNTIFS($A$5:$A$100,A6,$D$5:$D$100,D6)&gt;1,"Repetida","OK")</f>
        <v>OK</v>
      </c>
    </row>
    <row r="7" customFormat="false" ht="23.85" hidden="false" customHeight="false" outlineLevel="0" collapsed="false">
      <c r="A7" s="4" t="n">
        <v>1</v>
      </c>
      <c r="B7" s="5" t="s">
        <v>8</v>
      </c>
      <c r="C7" s="5" t="s">
        <v>13</v>
      </c>
      <c r="D7" s="6" t="s">
        <v>14</v>
      </c>
      <c r="E7" s="4" t="str">
        <f aca="false">IFERROR(INDEX(Modalidades!$B$5:$B$12,MATCH(D7,Modalidades!$A$5:$A$12,0)),"?")</f>
        <v>#17</v>
      </c>
      <c r="F7" s="7" t="str">
        <f aca="false">IF(COUNTIFS($A$5:$A$100,A7,$D$5:$D$100,D7)&gt;1,"Repetida","OK")</f>
        <v>OK</v>
      </c>
    </row>
    <row r="8" customFormat="false" ht="15" hidden="false" customHeight="false" outlineLevel="0" collapsed="false">
      <c r="A8" s="4" t="n">
        <v>1</v>
      </c>
      <c r="B8" s="5" t="s">
        <v>8</v>
      </c>
      <c r="C8" s="5" t="s">
        <v>15</v>
      </c>
      <c r="D8" s="6" t="s">
        <v>16</v>
      </c>
      <c r="E8" s="4" t="str">
        <f aca="false">IFERROR(INDEX(Modalidades!$B$5:$B$12,MATCH(D8,Modalidades!$A$5:$A$12,0)),"?")</f>
        <v>#19</v>
      </c>
      <c r="F8" s="7" t="str">
        <f aca="false">IF(COUNTIFS($A$5:$A$100,A8,$D$5:$D$100,D8)&gt;1,"Repetida","OK")</f>
        <v>OK</v>
      </c>
    </row>
    <row r="9" customFormat="false" ht="15" hidden="false" customHeight="false" outlineLevel="0" collapsed="false">
      <c r="A9" s="4" t="n">
        <v>1</v>
      </c>
      <c r="B9" s="5" t="s">
        <v>8</v>
      </c>
      <c r="C9" s="5" t="s">
        <v>17</v>
      </c>
      <c r="D9" s="6" t="s">
        <v>18</v>
      </c>
      <c r="E9" s="4" t="str">
        <f aca="false">IFERROR(INDEX(Modalidades!$B$5:$B$12,MATCH(D9,Modalidades!$A$5:$A$12,0)),"?")</f>
        <v>#18</v>
      </c>
      <c r="F9" s="7" t="str">
        <f aca="false">IF(COUNTIFS($A$5:$A$100,A9,$D$5:$D$100,D9)&gt;1,"Repetida","OK")</f>
        <v>OK</v>
      </c>
    </row>
    <row r="10" customFormat="false" ht="15" hidden="false" customHeight="false" outlineLevel="0" collapsed="false">
      <c r="A10" s="4" t="n">
        <v>1</v>
      </c>
      <c r="B10" s="5" t="s">
        <v>8</v>
      </c>
      <c r="C10" s="5" t="s">
        <v>19</v>
      </c>
      <c r="D10" s="6" t="s">
        <v>20</v>
      </c>
      <c r="E10" s="4" t="str">
        <f aca="false">IFERROR(INDEX(Modalidades!$B$5:$B$12,MATCH(D10,Modalidades!$A$5:$A$12,0)),"?")</f>
        <v>#04</v>
      </c>
      <c r="F10" s="7" t="str">
        <f aca="false">IF(COUNTIFS($A$5:$A$100,A10,$D$5:$D$100,D10)&gt;1,"Repetida","OK")</f>
        <v>OK</v>
      </c>
    </row>
    <row r="11" customFormat="false" ht="15" hidden="false" customHeight="false" outlineLevel="0" collapsed="false">
      <c r="A11" s="4" t="n">
        <v>1</v>
      </c>
      <c r="B11" s="5" t="s">
        <v>8</v>
      </c>
      <c r="C11" s="5" t="s">
        <v>21</v>
      </c>
      <c r="D11" s="6" t="s">
        <v>22</v>
      </c>
      <c r="E11" s="4" t="str">
        <f aca="false">IFERROR(INDEX(Modalidades!$B$5:$B$12,MATCH(D11,Modalidades!$A$5:$A$12,0)),"?")</f>
        <v>#48</v>
      </c>
      <c r="F11" s="7" t="str">
        <f aca="false">IF(COUNTIFS($A$5:$A$100,A11,$D$5:$D$100,D11)&gt;1,"Repetida","OK")</f>
        <v>OK</v>
      </c>
    </row>
    <row r="12" customFormat="false" ht="15" hidden="false" customHeight="false" outlineLevel="0" collapsed="false">
      <c r="A12" s="4" t="n">
        <v>1</v>
      </c>
      <c r="B12" s="5" t="s">
        <v>8</v>
      </c>
      <c r="C12" s="5" t="s">
        <v>23</v>
      </c>
      <c r="D12" s="6" t="s">
        <v>24</v>
      </c>
      <c r="E12" s="4" t="str">
        <f aca="false">IFERROR(INDEX(Modalidades!$B$5:$B$12,MATCH(D12,Modalidades!$A$5:$A$12,0)),"?")</f>
        <v>#59</v>
      </c>
      <c r="F12" s="7" t="str">
        <f aca="false">IF(COUNTIFS($A$5:$A$100,A12,$D$5:$D$100,D12)&gt;1,"Repetida","OK")</f>
        <v>OK</v>
      </c>
    </row>
    <row r="13" customFormat="false" ht="15" hidden="false" customHeight="false" outlineLevel="0" collapsed="false">
      <c r="A13" s="4" t="n">
        <v>2</v>
      </c>
      <c r="B13" s="5" t="s">
        <v>25</v>
      </c>
      <c r="C13" s="5" t="s">
        <v>26</v>
      </c>
      <c r="D13" s="6" t="s">
        <v>10</v>
      </c>
      <c r="E13" s="4" t="str">
        <f aca="false">IFERROR(INDEX(Modalidades!$B$5:$B$12,MATCH(D13,Modalidades!$A$5:$A$12,0)),"?")</f>
        <v>#50</v>
      </c>
      <c r="F13" s="7" t="str">
        <f aca="false">IF(COUNTIFS($A$5:$A$100,A13,$D$5:$D$100,D13)&gt;1,"Repetida","OK")</f>
        <v>OK</v>
      </c>
    </row>
    <row r="14" customFormat="false" ht="15" hidden="false" customHeight="false" outlineLevel="0" collapsed="false">
      <c r="A14" s="4" t="n">
        <v>2</v>
      </c>
      <c r="B14" s="5" t="s">
        <v>25</v>
      </c>
      <c r="C14" s="5" t="s">
        <v>27</v>
      </c>
      <c r="D14" s="6" t="s">
        <v>12</v>
      </c>
      <c r="E14" s="4" t="str">
        <f aca="false">IFERROR(INDEX(Modalidades!$B$5:$B$12,MATCH(D14,Modalidades!$A$5:$A$12,0)),"?")</f>
        <v>#08</v>
      </c>
      <c r="F14" s="7" t="str">
        <f aca="false">IF(COUNTIFS($A$5:$A$100,A14,$D$5:$D$100,D14)&gt;1,"Repetida","OK")</f>
        <v>OK</v>
      </c>
    </row>
    <row r="15" customFormat="false" ht="15" hidden="false" customHeight="false" outlineLevel="0" collapsed="false">
      <c r="A15" s="4" t="n">
        <v>2</v>
      </c>
      <c r="B15" s="5" t="s">
        <v>25</v>
      </c>
      <c r="C15" s="5" t="s">
        <v>28</v>
      </c>
      <c r="D15" s="6" t="s">
        <v>14</v>
      </c>
      <c r="E15" s="4" t="str">
        <f aca="false">IFERROR(INDEX(Modalidades!$B$5:$B$12,MATCH(D15,Modalidades!$A$5:$A$12,0)),"?")</f>
        <v>#17</v>
      </c>
      <c r="F15" s="7" t="str">
        <f aca="false">IF(COUNTIFS($A$5:$A$100,A15,$D$5:$D$100,D15)&gt;1,"Repetida","OK")</f>
        <v>OK</v>
      </c>
    </row>
    <row r="16" customFormat="false" ht="15" hidden="false" customHeight="false" outlineLevel="0" collapsed="false">
      <c r="A16" s="4" t="n">
        <v>2</v>
      </c>
      <c r="B16" s="5" t="s">
        <v>25</v>
      </c>
      <c r="C16" s="5" t="s">
        <v>29</v>
      </c>
      <c r="D16" s="6" t="s">
        <v>16</v>
      </c>
      <c r="E16" s="4" t="str">
        <f aca="false">IFERROR(INDEX(Modalidades!$B$5:$B$12,MATCH(D16,Modalidades!$A$5:$A$12,0)),"?")</f>
        <v>#19</v>
      </c>
      <c r="F16" s="7" t="str">
        <f aca="false">IF(COUNTIFS($A$5:$A$100,A16,$D$5:$D$100,D16)&gt;1,"Repetida","OK")</f>
        <v>OK</v>
      </c>
    </row>
    <row r="17" customFormat="false" ht="15" hidden="false" customHeight="false" outlineLevel="0" collapsed="false">
      <c r="A17" s="4" t="n">
        <v>2</v>
      </c>
      <c r="B17" s="5" t="s">
        <v>25</v>
      </c>
      <c r="C17" s="5" t="s">
        <v>30</v>
      </c>
      <c r="D17" s="6" t="s">
        <v>18</v>
      </c>
      <c r="E17" s="4" t="str">
        <f aca="false">IFERROR(INDEX(Modalidades!$B$5:$B$12,MATCH(D17,Modalidades!$A$5:$A$12,0)),"?")</f>
        <v>#18</v>
      </c>
      <c r="F17" s="7" t="str">
        <f aca="false">IF(COUNTIFS($A$5:$A$100,A17,$D$5:$D$100,D17)&gt;1,"Repetida","OK")</f>
        <v>OK</v>
      </c>
    </row>
    <row r="18" customFormat="false" ht="15" hidden="false" customHeight="false" outlineLevel="0" collapsed="false">
      <c r="A18" s="4" t="n">
        <v>2</v>
      </c>
      <c r="B18" s="5" t="s">
        <v>25</v>
      </c>
      <c r="C18" s="5" t="s">
        <v>31</v>
      </c>
      <c r="D18" s="6" t="s">
        <v>20</v>
      </c>
      <c r="E18" s="4" t="str">
        <f aca="false">IFERROR(INDEX(Modalidades!$B$5:$B$12,MATCH(D18,Modalidades!$A$5:$A$12,0)),"?")</f>
        <v>#04</v>
      </c>
      <c r="F18" s="7" t="str">
        <f aca="false">IF(COUNTIFS($A$5:$A$100,A18,$D$5:$D$100,D18)&gt;1,"Repetida","OK")</f>
        <v>OK</v>
      </c>
    </row>
    <row r="19" customFormat="false" ht="15" hidden="false" customHeight="false" outlineLevel="0" collapsed="false">
      <c r="A19" s="4" t="n">
        <v>2</v>
      </c>
      <c r="B19" s="5" t="s">
        <v>25</v>
      </c>
      <c r="C19" s="5" t="s">
        <v>32</v>
      </c>
      <c r="D19" s="6" t="s">
        <v>22</v>
      </c>
      <c r="E19" s="4" t="str">
        <f aca="false">IFERROR(INDEX(Modalidades!$B$5:$B$12,MATCH(D19,Modalidades!$A$5:$A$12,0)),"?")</f>
        <v>#48</v>
      </c>
      <c r="F19" s="7" t="str">
        <f aca="false">IF(COUNTIFS($A$5:$A$100,A19,$D$5:$D$100,D19)&gt;1,"Repetida","OK")</f>
        <v>OK</v>
      </c>
    </row>
    <row r="20" customFormat="false" ht="15" hidden="false" customHeight="false" outlineLevel="0" collapsed="false">
      <c r="A20" s="4" t="n">
        <v>2</v>
      </c>
      <c r="B20" s="5" t="s">
        <v>25</v>
      </c>
      <c r="C20" s="5" t="s">
        <v>33</v>
      </c>
      <c r="D20" s="6" t="s">
        <v>24</v>
      </c>
      <c r="E20" s="4" t="str">
        <f aca="false">IFERROR(INDEX(Modalidades!$B$5:$B$12,MATCH(D20,Modalidades!$A$5:$A$12,0)),"?")</f>
        <v>#59</v>
      </c>
      <c r="F20" s="7" t="str">
        <f aca="false">IF(COUNTIFS($A$5:$A$100,A20,$D$5:$D$100,D20)&gt;1,"Repetida","OK")</f>
        <v>OK</v>
      </c>
    </row>
    <row r="21" customFormat="false" ht="23.85" hidden="false" customHeight="false" outlineLevel="0" collapsed="false">
      <c r="A21" s="4" t="n">
        <v>3</v>
      </c>
      <c r="B21" s="5" t="s">
        <v>34</v>
      </c>
      <c r="C21" s="5" t="s">
        <v>35</v>
      </c>
      <c r="D21" s="6" t="s">
        <v>10</v>
      </c>
      <c r="E21" s="4" t="str">
        <f aca="false">IFERROR(INDEX(Modalidades!$B$5:$B$12,MATCH(D21,Modalidades!$A$5:$A$12,0)),"?")</f>
        <v>#50</v>
      </c>
      <c r="F21" s="7" t="str">
        <f aca="false">IF(COUNTIFS($A$5:$A$100,A21,$D$5:$D$100,D21)&gt;1,"Repetida","OK")</f>
        <v>OK</v>
      </c>
    </row>
    <row r="22" customFormat="false" ht="23.85" hidden="false" customHeight="false" outlineLevel="0" collapsed="false">
      <c r="A22" s="4" t="n">
        <v>3</v>
      </c>
      <c r="B22" s="5" t="s">
        <v>34</v>
      </c>
      <c r="C22" s="5" t="s">
        <v>36</v>
      </c>
      <c r="D22" s="6" t="s">
        <v>12</v>
      </c>
      <c r="E22" s="4" t="str">
        <f aca="false">IFERROR(INDEX(Modalidades!$B$5:$B$12,MATCH(D22,Modalidades!$A$5:$A$12,0)),"?")</f>
        <v>#08</v>
      </c>
      <c r="F22" s="7" t="str">
        <f aca="false">IF(COUNTIFS($A$5:$A$100,A22,$D$5:$D$100,D22)&gt;1,"Repetida","OK")</f>
        <v>OK</v>
      </c>
    </row>
    <row r="23" customFormat="false" ht="23.85" hidden="false" customHeight="false" outlineLevel="0" collapsed="false">
      <c r="A23" s="4" t="n">
        <v>3</v>
      </c>
      <c r="B23" s="5" t="s">
        <v>34</v>
      </c>
      <c r="C23" s="5" t="s">
        <v>37</v>
      </c>
      <c r="D23" s="6" t="s">
        <v>14</v>
      </c>
      <c r="E23" s="4" t="str">
        <f aca="false">IFERROR(INDEX(Modalidades!$B$5:$B$12,MATCH(D23,Modalidades!$A$5:$A$12,0)),"?")</f>
        <v>#17</v>
      </c>
      <c r="F23" s="7" t="str">
        <f aca="false">IF(COUNTIFS($A$5:$A$100,A23,$D$5:$D$100,D23)&gt;1,"Repetida","OK")</f>
        <v>OK</v>
      </c>
    </row>
    <row r="24" customFormat="false" ht="23.85" hidden="false" customHeight="false" outlineLevel="0" collapsed="false">
      <c r="A24" s="4" t="n">
        <v>3</v>
      </c>
      <c r="B24" s="5" t="s">
        <v>34</v>
      </c>
      <c r="C24" s="5" t="s">
        <v>38</v>
      </c>
      <c r="D24" s="6" t="s">
        <v>16</v>
      </c>
      <c r="E24" s="4" t="str">
        <f aca="false">IFERROR(INDEX(Modalidades!$B$5:$B$12,MATCH(D24,Modalidades!$A$5:$A$12,0)),"?")</f>
        <v>#19</v>
      </c>
      <c r="F24" s="7" t="str">
        <f aca="false">IF(COUNTIFS($A$5:$A$100,A24,$D$5:$D$100,D24)&gt;1,"Repetida","OK")</f>
        <v>OK</v>
      </c>
    </row>
    <row r="25" customFormat="false" ht="23.85" hidden="false" customHeight="false" outlineLevel="0" collapsed="false">
      <c r="A25" s="4" t="n">
        <v>3</v>
      </c>
      <c r="B25" s="5" t="s">
        <v>34</v>
      </c>
      <c r="C25" s="5" t="s">
        <v>39</v>
      </c>
      <c r="D25" s="6" t="s">
        <v>18</v>
      </c>
      <c r="E25" s="4" t="str">
        <f aca="false">IFERROR(INDEX(Modalidades!$B$5:$B$12,MATCH(D25,Modalidades!$A$5:$A$12,0)),"?")</f>
        <v>#18</v>
      </c>
      <c r="F25" s="7" t="str">
        <f aca="false">IF(COUNTIFS($A$5:$A$100,A25,$D$5:$D$100,D25)&gt;1,"Repetida","OK")</f>
        <v>OK</v>
      </c>
    </row>
    <row r="26" customFormat="false" ht="23.85" hidden="false" customHeight="false" outlineLevel="0" collapsed="false">
      <c r="A26" s="4" t="n">
        <v>3</v>
      </c>
      <c r="B26" s="5" t="s">
        <v>34</v>
      </c>
      <c r="C26" s="5" t="s">
        <v>40</v>
      </c>
      <c r="D26" s="6" t="s">
        <v>20</v>
      </c>
      <c r="E26" s="4" t="str">
        <f aca="false">IFERROR(INDEX(Modalidades!$B$5:$B$12,MATCH(D26,Modalidades!$A$5:$A$12,0)),"?")</f>
        <v>#04</v>
      </c>
      <c r="F26" s="7" t="str">
        <f aca="false">IF(COUNTIFS($A$5:$A$100,A26,$D$5:$D$100,D26)&gt;1,"Repetida","OK")</f>
        <v>OK</v>
      </c>
    </row>
    <row r="27" customFormat="false" ht="23.85" hidden="false" customHeight="false" outlineLevel="0" collapsed="false">
      <c r="A27" s="4" t="n">
        <v>3</v>
      </c>
      <c r="B27" s="5" t="s">
        <v>34</v>
      </c>
      <c r="C27" s="5" t="s">
        <v>41</v>
      </c>
      <c r="D27" s="6" t="s">
        <v>22</v>
      </c>
      <c r="E27" s="4" t="str">
        <f aca="false">IFERROR(INDEX(Modalidades!$B$5:$B$12,MATCH(D27,Modalidades!$A$5:$A$12,0)),"?")</f>
        <v>#48</v>
      </c>
      <c r="F27" s="7" t="str">
        <f aca="false">IF(COUNTIFS($A$5:$A$100,A27,$D$5:$D$100,D27)&gt;1,"Repetida","OK")</f>
        <v>OK</v>
      </c>
    </row>
    <row r="28" customFormat="false" ht="23.85" hidden="false" customHeight="false" outlineLevel="0" collapsed="false">
      <c r="A28" s="4" t="n">
        <v>3</v>
      </c>
      <c r="B28" s="5" t="s">
        <v>34</v>
      </c>
      <c r="C28" s="5" t="s">
        <v>42</v>
      </c>
      <c r="D28" s="6" t="s">
        <v>24</v>
      </c>
      <c r="E28" s="4" t="str">
        <f aca="false">IFERROR(INDEX(Modalidades!$B$5:$B$12,MATCH(D28,Modalidades!$A$5:$A$12,0)),"?")</f>
        <v>#59</v>
      </c>
      <c r="F28" s="7" t="str">
        <f aca="false">IF(COUNTIFS($A$5:$A$100,A28,$D$5:$D$100,D28)&gt;1,"Repetida","OK")</f>
        <v>OK</v>
      </c>
    </row>
    <row r="29" customFormat="false" ht="23.85" hidden="false" customHeight="false" outlineLevel="0" collapsed="false">
      <c r="A29" s="4" t="n">
        <v>4</v>
      </c>
      <c r="B29" s="5" t="s">
        <v>43</v>
      </c>
      <c r="C29" s="5" t="s">
        <v>44</v>
      </c>
      <c r="D29" s="6" t="s">
        <v>10</v>
      </c>
      <c r="E29" s="4" t="str">
        <f aca="false">IFERROR(INDEX(Modalidades!$B$5:$B$12,MATCH(D29,Modalidades!$A$5:$A$12,0)),"?")</f>
        <v>#50</v>
      </c>
      <c r="F29" s="7" t="str">
        <f aca="false">IF(COUNTIFS($A$5:$A$100,A29,$D$5:$D$100,D29)&gt;1,"Repetida","OK")</f>
        <v>OK</v>
      </c>
    </row>
    <row r="30" customFormat="false" ht="23.85" hidden="false" customHeight="false" outlineLevel="0" collapsed="false">
      <c r="A30" s="4" t="n">
        <v>4</v>
      </c>
      <c r="B30" s="5" t="s">
        <v>43</v>
      </c>
      <c r="C30" s="5" t="s">
        <v>45</v>
      </c>
      <c r="D30" s="6" t="s">
        <v>12</v>
      </c>
      <c r="E30" s="4" t="str">
        <f aca="false">IFERROR(INDEX(Modalidades!$B$5:$B$12,MATCH(D30,Modalidades!$A$5:$A$12,0)),"?")</f>
        <v>#08</v>
      </c>
      <c r="F30" s="7" t="str">
        <f aca="false">IF(COUNTIFS($A$5:$A$100,A30,$D$5:$D$100,D30)&gt;1,"Repetida","OK")</f>
        <v>OK</v>
      </c>
    </row>
    <row r="31" customFormat="false" ht="23.85" hidden="false" customHeight="false" outlineLevel="0" collapsed="false">
      <c r="A31" s="4" t="n">
        <v>4</v>
      </c>
      <c r="B31" s="5" t="s">
        <v>43</v>
      </c>
      <c r="C31" s="5" t="s">
        <v>46</v>
      </c>
      <c r="D31" s="6" t="s">
        <v>14</v>
      </c>
      <c r="E31" s="4" t="str">
        <f aca="false">IFERROR(INDEX(Modalidades!$B$5:$B$12,MATCH(D31,Modalidades!$A$5:$A$12,0)),"?")</f>
        <v>#17</v>
      </c>
      <c r="F31" s="7" t="str">
        <f aca="false">IF(COUNTIFS($A$5:$A$100,A31,$D$5:$D$100,D31)&gt;1,"Repetida","OK")</f>
        <v>OK</v>
      </c>
    </row>
    <row r="32" customFormat="false" ht="23.85" hidden="false" customHeight="false" outlineLevel="0" collapsed="false">
      <c r="A32" s="4" t="n">
        <v>4</v>
      </c>
      <c r="B32" s="5" t="s">
        <v>43</v>
      </c>
      <c r="C32" s="5" t="s">
        <v>47</v>
      </c>
      <c r="D32" s="6" t="s">
        <v>16</v>
      </c>
      <c r="E32" s="4" t="str">
        <f aca="false">IFERROR(INDEX(Modalidades!$B$5:$B$12,MATCH(D32,Modalidades!$A$5:$A$12,0)),"?")</f>
        <v>#19</v>
      </c>
      <c r="F32" s="7" t="str">
        <f aca="false">IF(COUNTIFS($A$5:$A$100,A32,$D$5:$D$100,D32)&gt;1,"Repetida","OK")</f>
        <v>OK</v>
      </c>
    </row>
    <row r="33" customFormat="false" ht="23.85" hidden="false" customHeight="false" outlineLevel="0" collapsed="false">
      <c r="A33" s="4" t="n">
        <v>4</v>
      </c>
      <c r="B33" s="5" t="s">
        <v>43</v>
      </c>
      <c r="C33" s="5" t="s">
        <v>48</v>
      </c>
      <c r="D33" s="6" t="s">
        <v>18</v>
      </c>
      <c r="E33" s="4" t="str">
        <f aca="false">IFERROR(INDEX(Modalidades!$B$5:$B$12,MATCH(D33,Modalidades!$A$5:$A$12,0)),"?")</f>
        <v>#18</v>
      </c>
      <c r="F33" s="7" t="str">
        <f aca="false">IF(COUNTIFS($A$5:$A$100,A33,$D$5:$D$100,D33)&gt;1,"Repetida","OK")</f>
        <v>OK</v>
      </c>
    </row>
    <row r="34" customFormat="false" ht="23.85" hidden="false" customHeight="false" outlineLevel="0" collapsed="false">
      <c r="A34" s="4" t="n">
        <v>4</v>
      </c>
      <c r="B34" s="5" t="s">
        <v>43</v>
      </c>
      <c r="C34" s="5" t="s">
        <v>49</v>
      </c>
      <c r="D34" s="6" t="s">
        <v>20</v>
      </c>
      <c r="E34" s="4" t="str">
        <f aca="false">IFERROR(INDEX(Modalidades!$B$5:$B$12,MATCH(D34,Modalidades!$A$5:$A$12,0)),"?")</f>
        <v>#04</v>
      </c>
      <c r="F34" s="7" t="str">
        <f aca="false">IF(COUNTIFS($A$5:$A$100,A34,$D$5:$D$100,D34)&gt;1,"Repetida","OK")</f>
        <v>OK</v>
      </c>
    </row>
    <row r="35" customFormat="false" ht="23.85" hidden="false" customHeight="false" outlineLevel="0" collapsed="false">
      <c r="A35" s="4" t="n">
        <v>4</v>
      </c>
      <c r="B35" s="5" t="s">
        <v>43</v>
      </c>
      <c r="C35" s="5" t="s">
        <v>50</v>
      </c>
      <c r="D35" s="6" t="s">
        <v>22</v>
      </c>
      <c r="E35" s="4" t="str">
        <f aca="false">IFERROR(INDEX(Modalidades!$B$5:$B$12,MATCH(D35,Modalidades!$A$5:$A$12,0)),"?")</f>
        <v>#48</v>
      </c>
      <c r="F35" s="7" t="str">
        <f aca="false">IF(COUNTIFS($A$5:$A$100,A35,$D$5:$D$100,D35)&gt;1,"Repetida","OK")</f>
        <v>OK</v>
      </c>
    </row>
    <row r="36" customFormat="false" ht="23.85" hidden="false" customHeight="false" outlineLevel="0" collapsed="false">
      <c r="A36" s="4" t="n">
        <v>4</v>
      </c>
      <c r="B36" s="5" t="s">
        <v>43</v>
      </c>
      <c r="C36" s="5" t="s">
        <v>51</v>
      </c>
      <c r="D36" s="6" t="s">
        <v>24</v>
      </c>
      <c r="E36" s="4" t="str">
        <f aca="false">IFERROR(INDEX(Modalidades!$B$5:$B$12,MATCH(D36,Modalidades!$A$5:$A$12,0)),"?")</f>
        <v>#59</v>
      </c>
      <c r="F36" s="7" t="str">
        <f aca="false">IF(COUNTIFS($A$5:$A$100,A36,$D$5:$D$100,D36)&gt;1,"Repetida","OK")</f>
        <v>OK</v>
      </c>
    </row>
    <row r="37" customFormat="false" ht="15" hidden="false" customHeight="false" outlineLevel="0" collapsed="false">
      <c r="A37" s="4" t="n">
        <v>5</v>
      </c>
      <c r="B37" s="5" t="s">
        <v>52</v>
      </c>
      <c r="C37" s="5" t="s">
        <v>53</v>
      </c>
      <c r="D37" s="6" t="s">
        <v>10</v>
      </c>
      <c r="E37" s="4" t="str">
        <f aca="false">IFERROR(INDEX(Modalidades!$B$5:$B$12,MATCH(D37,Modalidades!$A$5:$A$12,0)),"?")</f>
        <v>#50</v>
      </c>
      <c r="F37" s="7" t="str">
        <f aca="false">IF(COUNTIFS($A$5:$A$100,A37,$D$5:$D$100,D37)&gt;1,"Repetida","OK")</f>
        <v>OK</v>
      </c>
    </row>
    <row r="38" customFormat="false" ht="15" hidden="false" customHeight="false" outlineLevel="0" collapsed="false">
      <c r="A38" s="4" t="n">
        <v>5</v>
      </c>
      <c r="B38" s="5" t="s">
        <v>52</v>
      </c>
      <c r="C38" s="5" t="s">
        <v>54</v>
      </c>
      <c r="D38" s="6" t="s">
        <v>12</v>
      </c>
      <c r="E38" s="4" t="str">
        <f aca="false">IFERROR(INDEX(Modalidades!$B$5:$B$12,MATCH(D38,Modalidades!$A$5:$A$12,0)),"?")</f>
        <v>#08</v>
      </c>
      <c r="F38" s="7" t="str">
        <f aca="false">IF(COUNTIFS($A$5:$A$100,A38,$D$5:$D$100,D38)&gt;1,"Repetida","OK")</f>
        <v>OK</v>
      </c>
    </row>
    <row r="39" customFormat="false" ht="15" hidden="false" customHeight="false" outlineLevel="0" collapsed="false">
      <c r="A39" s="4" t="n">
        <v>5</v>
      </c>
      <c r="B39" s="5" t="s">
        <v>52</v>
      </c>
      <c r="C39" s="5" t="s">
        <v>55</v>
      </c>
      <c r="D39" s="6" t="s">
        <v>14</v>
      </c>
      <c r="E39" s="4" t="str">
        <f aca="false">IFERROR(INDEX(Modalidades!$B$5:$B$12,MATCH(D39,Modalidades!$A$5:$A$12,0)),"?")</f>
        <v>#17</v>
      </c>
      <c r="F39" s="7" t="str">
        <f aca="false">IF(COUNTIFS($A$5:$A$100,A39,$D$5:$D$100,D39)&gt;1,"Repetida","OK")</f>
        <v>OK</v>
      </c>
    </row>
    <row r="40" customFormat="false" ht="15" hidden="false" customHeight="false" outlineLevel="0" collapsed="false">
      <c r="A40" s="4" t="n">
        <v>5</v>
      </c>
      <c r="B40" s="5" t="s">
        <v>52</v>
      </c>
      <c r="C40" s="5" t="s">
        <v>56</v>
      </c>
      <c r="D40" s="6" t="s">
        <v>16</v>
      </c>
      <c r="E40" s="4" t="str">
        <f aca="false">IFERROR(INDEX(Modalidades!$B$5:$B$12,MATCH(D40,Modalidades!$A$5:$A$12,0)),"?")</f>
        <v>#19</v>
      </c>
      <c r="F40" s="7" t="str">
        <f aca="false">IF(COUNTIFS($A$5:$A$100,A40,$D$5:$D$100,D40)&gt;1,"Repetida","OK")</f>
        <v>OK</v>
      </c>
    </row>
    <row r="41" customFormat="false" ht="15" hidden="false" customHeight="false" outlineLevel="0" collapsed="false">
      <c r="A41" s="4" t="n">
        <v>5</v>
      </c>
      <c r="B41" s="5" t="s">
        <v>52</v>
      </c>
      <c r="C41" s="5" t="s">
        <v>57</v>
      </c>
      <c r="D41" s="6" t="s">
        <v>18</v>
      </c>
      <c r="E41" s="4" t="str">
        <f aca="false">IFERROR(INDEX(Modalidades!$B$5:$B$12,MATCH(D41,Modalidades!$A$5:$A$12,0)),"?")</f>
        <v>#18</v>
      </c>
      <c r="F41" s="7" t="str">
        <f aca="false">IF(COUNTIFS($A$5:$A$100,A41,$D$5:$D$100,D41)&gt;1,"Repetida","OK")</f>
        <v>OK</v>
      </c>
    </row>
    <row r="42" customFormat="false" ht="15" hidden="false" customHeight="false" outlineLevel="0" collapsed="false">
      <c r="A42" s="4" t="n">
        <v>5</v>
      </c>
      <c r="B42" s="5" t="s">
        <v>52</v>
      </c>
      <c r="C42" s="5" t="s">
        <v>58</v>
      </c>
      <c r="D42" s="6" t="s">
        <v>20</v>
      </c>
      <c r="E42" s="4" t="str">
        <f aca="false">IFERROR(INDEX(Modalidades!$B$5:$B$12,MATCH(D42,Modalidades!$A$5:$A$12,0)),"?")</f>
        <v>#04</v>
      </c>
      <c r="F42" s="7" t="str">
        <f aca="false">IF(COUNTIFS($A$5:$A$100,A42,$D$5:$D$100,D42)&gt;1,"Repetida","OK")</f>
        <v>OK</v>
      </c>
    </row>
    <row r="43" customFormat="false" ht="15" hidden="false" customHeight="false" outlineLevel="0" collapsed="false">
      <c r="A43" s="4" t="n">
        <v>5</v>
      </c>
      <c r="B43" s="5" t="s">
        <v>52</v>
      </c>
      <c r="C43" s="5" t="s">
        <v>59</v>
      </c>
      <c r="D43" s="6" t="s">
        <v>22</v>
      </c>
      <c r="E43" s="4" t="str">
        <f aca="false">IFERROR(INDEX(Modalidades!$B$5:$B$12,MATCH(D43,Modalidades!$A$5:$A$12,0)),"?")</f>
        <v>#48</v>
      </c>
      <c r="F43" s="7" t="str">
        <f aca="false">IF(COUNTIFS($A$5:$A$100,A43,$D$5:$D$100,D43)&gt;1,"Repetida","OK")</f>
        <v>OK</v>
      </c>
    </row>
    <row r="44" customFormat="false" ht="15" hidden="false" customHeight="false" outlineLevel="0" collapsed="false">
      <c r="A44" s="4" t="n">
        <v>5</v>
      </c>
      <c r="B44" s="5" t="s">
        <v>52</v>
      </c>
      <c r="C44" s="5" t="s">
        <v>60</v>
      </c>
      <c r="D44" s="6" t="s">
        <v>24</v>
      </c>
      <c r="E44" s="4" t="str">
        <f aca="false">IFERROR(INDEX(Modalidades!$B$5:$B$12,MATCH(D44,Modalidades!$A$5:$A$12,0)),"?")</f>
        <v>#59</v>
      </c>
      <c r="F44" s="7" t="str">
        <f aca="false">IF(COUNTIFS($A$5:$A$100,A44,$D$5:$D$100,D44)&gt;1,"Repetida","OK")</f>
        <v>OK</v>
      </c>
    </row>
    <row r="45" customFormat="false" ht="15" hidden="false" customHeight="false" outlineLevel="0" collapsed="false">
      <c r="A45" s="4" t="n">
        <v>6</v>
      </c>
      <c r="B45" s="5" t="s">
        <v>61</v>
      </c>
      <c r="C45" s="5" t="s">
        <v>62</v>
      </c>
      <c r="D45" s="6" t="s">
        <v>10</v>
      </c>
      <c r="E45" s="4" t="str">
        <f aca="false">IFERROR(INDEX(Modalidades!$B$5:$B$12,MATCH(D45,Modalidades!$A$5:$A$12,0)),"?")</f>
        <v>#50</v>
      </c>
      <c r="F45" s="7" t="str">
        <f aca="false">IF(COUNTIFS($A$5:$A$100,A45,$D$5:$D$100,D45)&gt;1,"Repetida","OK")</f>
        <v>OK</v>
      </c>
    </row>
    <row r="46" customFormat="false" ht="15" hidden="false" customHeight="false" outlineLevel="0" collapsed="false">
      <c r="A46" s="4" t="n">
        <v>6</v>
      </c>
      <c r="B46" s="5" t="s">
        <v>61</v>
      </c>
      <c r="C46" s="5" t="s">
        <v>63</v>
      </c>
      <c r="D46" s="6" t="s">
        <v>12</v>
      </c>
      <c r="E46" s="4" t="str">
        <f aca="false">IFERROR(INDEX(Modalidades!$B$5:$B$12,MATCH(D46,Modalidades!$A$5:$A$12,0)),"?")</f>
        <v>#08</v>
      </c>
      <c r="F46" s="7" t="str">
        <f aca="false">IF(COUNTIFS($A$5:$A$100,A46,$D$5:$D$100,D46)&gt;1,"Repetida","OK")</f>
        <v>OK</v>
      </c>
    </row>
    <row r="47" customFormat="false" ht="23.85" hidden="false" customHeight="false" outlineLevel="0" collapsed="false">
      <c r="A47" s="4" t="n">
        <v>6</v>
      </c>
      <c r="B47" s="5" t="s">
        <v>61</v>
      </c>
      <c r="C47" s="5" t="s">
        <v>64</v>
      </c>
      <c r="D47" s="6" t="s">
        <v>14</v>
      </c>
      <c r="E47" s="4" t="str">
        <f aca="false">IFERROR(INDEX(Modalidades!$B$5:$B$12,MATCH(D47,Modalidades!$A$5:$A$12,0)),"?")</f>
        <v>#17</v>
      </c>
      <c r="F47" s="7" t="str">
        <f aca="false">IF(COUNTIFS($A$5:$A$100,A47,$D$5:$D$100,D47)&gt;1,"Repetida","OK")</f>
        <v>OK</v>
      </c>
    </row>
    <row r="48" customFormat="false" ht="15" hidden="false" customHeight="false" outlineLevel="0" collapsed="false">
      <c r="A48" s="4" t="n">
        <v>6</v>
      </c>
      <c r="B48" s="5" t="s">
        <v>61</v>
      </c>
      <c r="C48" s="5" t="s">
        <v>65</v>
      </c>
      <c r="D48" s="6" t="s">
        <v>16</v>
      </c>
      <c r="E48" s="4" t="str">
        <f aca="false">IFERROR(INDEX(Modalidades!$B$5:$B$12,MATCH(D48,Modalidades!$A$5:$A$12,0)),"?")</f>
        <v>#19</v>
      </c>
      <c r="F48" s="7" t="str">
        <f aca="false">IF(COUNTIFS($A$5:$A$100,A48,$D$5:$D$100,D48)&gt;1,"Repetida","OK")</f>
        <v>OK</v>
      </c>
    </row>
    <row r="49" customFormat="false" ht="15" hidden="false" customHeight="false" outlineLevel="0" collapsed="false">
      <c r="A49" s="4" t="n">
        <v>6</v>
      </c>
      <c r="B49" s="5" t="s">
        <v>61</v>
      </c>
      <c r="C49" s="5" t="s">
        <v>66</v>
      </c>
      <c r="D49" s="6" t="s">
        <v>18</v>
      </c>
      <c r="E49" s="4" t="str">
        <f aca="false">IFERROR(INDEX(Modalidades!$B$5:$B$12,MATCH(D49,Modalidades!$A$5:$A$12,0)),"?")</f>
        <v>#18</v>
      </c>
      <c r="F49" s="7" t="str">
        <f aca="false">IF(COUNTIFS($A$5:$A$100,A49,$D$5:$D$100,D49)&gt;1,"Repetida","OK")</f>
        <v>OK</v>
      </c>
    </row>
    <row r="50" customFormat="false" ht="15" hidden="false" customHeight="false" outlineLevel="0" collapsed="false">
      <c r="A50" s="4" t="n">
        <v>6</v>
      </c>
      <c r="B50" s="5" t="s">
        <v>61</v>
      </c>
      <c r="C50" s="5" t="s">
        <v>67</v>
      </c>
      <c r="D50" s="6" t="s">
        <v>20</v>
      </c>
      <c r="E50" s="4" t="str">
        <f aca="false">IFERROR(INDEX(Modalidades!$B$5:$B$12,MATCH(D50,Modalidades!$A$5:$A$12,0)),"?")</f>
        <v>#04</v>
      </c>
      <c r="F50" s="7" t="str">
        <f aca="false">IF(COUNTIFS($A$5:$A$100,A50,$D$5:$D$100,D50)&gt;1,"Repetida","OK")</f>
        <v>OK</v>
      </c>
    </row>
    <row r="51" customFormat="false" ht="15" hidden="false" customHeight="false" outlineLevel="0" collapsed="false">
      <c r="A51" s="4" t="n">
        <v>6</v>
      </c>
      <c r="B51" s="5" t="s">
        <v>61</v>
      </c>
      <c r="C51" s="5" t="s">
        <v>68</v>
      </c>
      <c r="D51" s="6" t="s">
        <v>22</v>
      </c>
      <c r="E51" s="4" t="str">
        <f aca="false">IFERROR(INDEX(Modalidades!$B$5:$B$12,MATCH(D51,Modalidades!$A$5:$A$12,0)),"?")</f>
        <v>#48</v>
      </c>
      <c r="F51" s="7" t="str">
        <f aca="false">IF(COUNTIFS($A$5:$A$100,A51,$D$5:$D$100,D51)&gt;1,"Repetida","OK")</f>
        <v>OK</v>
      </c>
    </row>
    <row r="52" customFormat="false" ht="15" hidden="false" customHeight="false" outlineLevel="0" collapsed="false">
      <c r="A52" s="4" t="n">
        <v>6</v>
      </c>
      <c r="B52" s="5" t="s">
        <v>61</v>
      </c>
      <c r="C52" s="5" t="s">
        <v>69</v>
      </c>
      <c r="D52" s="6" t="s">
        <v>24</v>
      </c>
      <c r="E52" s="4" t="str">
        <f aca="false">IFERROR(INDEX(Modalidades!$B$5:$B$12,MATCH(D52,Modalidades!$A$5:$A$12,0)),"?")</f>
        <v>#59</v>
      </c>
      <c r="F52" s="7" t="str">
        <f aca="false">IF(COUNTIFS($A$5:$A$100,A52,$D$5:$D$100,D52)&gt;1,"Repetida","OK")</f>
        <v>OK</v>
      </c>
    </row>
    <row r="53" customFormat="false" ht="15" hidden="false" customHeight="false" outlineLevel="0" collapsed="false">
      <c r="A53" s="4" t="n">
        <v>7</v>
      </c>
      <c r="B53" s="5" t="s">
        <v>70</v>
      </c>
      <c r="C53" s="5" t="s">
        <v>71</v>
      </c>
      <c r="D53" s="6" t="s">
        <v>10</v>
      </c>
      <c r="E53" s="4" t="str">
        <f aca="false">IFERROR(INDEX(Modalidades!$B$5:$B$12,MATCH(D53,Modalidades!$A$5:$A$12,0)),"?")</f>
        <v>#50</v>
      </c>
      <c r="F53" s="7" t="str">
        <f aca="false">IF(COUNTIFS($A$5:$A$100,A53,$D$5:$D$100,D53)&gt;1,"Repetida","OK")</f>
        <v>OK</v>
      </c>
    </row>
    <row r="54" customFormat="false" ht="15" hidden="false" customHeight="false" outlineLevel="0" collapsed="false">
      <c r="A54" s="4" t="n">
        <v>7</v>
      </c>
      <c r="B54" s="5" t="s">
        <v>70</v>
      </c>
      <c r="C54" s="5" t="s">
        <v>72</v>
      </c>
      <c r="D54" s="6" t="s">
        <v>12</v>
      </c>
      <c r="E54" s="4" t="str">
        <f aca="false">IFERROR(INDEX(Modalidades!$B$5:$B$12,MATCH(D54,Modalidades!$A$5:$A$12,0)),"?")</f>
        <v>#08</v>
      </c>
      <c r="F54" s="7" t="str">
        <f aca="false">IF(COUNTIFS($A$5:$A$100,A54,$D$5:$D$100,D54)&gt;1,"Repetida","OK")</f>
        <v>OK</v>
      </c>
    </row>
    <row r="55" customFormat="false" ht="15" hidden="false" customHeight="false" outlineLevel="0" collapsed="false">
      <c r="A55" s="4" t="n">
        <v>7</v>
      </c>
      <c r="B55" s="5" t="s">
        <v>70</v>
      </c>
      <c r="C55" s="5" t="s">
        <v>73</v>
      </c>
      <c r="D55" s="6" t="s">
        <v>14</v>
      </c>
      <c r="E55" s="4" t="str">
        <f aca="false">IFERROR(INDEX(Modalidades!$B$5:$B$12,MATCH(D55,Modalidades!$A$5:$A$12,0)),"?")</f>
        <v>#17</v>
      </c>
      <c r="F55" s="7" t="str">
        <f aca="false">IF(COUNTIFS($A$5:$A$100,A55,$D$5:$D$100,D55)&gt;1,"Repetida","OK")</f>
        <v>OK</v>
      </c>
    </row>
    <row r="56" customFormat="false" ht="15" hidden="false" customHeight="false" outlineLevel="0" collapsed="false">
      <c r="A56" s="4" t="n">
        <v>7</v>
      </c>
      <c r="B56" s="5" t="s">
        <v>70</v>
      </c>
      <c r="C56" s="5" t="s">
        <v>74</v>
      </c>
      <c r="D56" s="6" t="s">
        <v>16</v>
      </c>
      <c r="E56" s="4" t="str">
        <f aca="false">IFERROR(INDEX(Modalidades!$B$5:$B$12,MATCH(D56,Modalidades!$A$5:$A$12,0)),"?")</f>
        <v>#19</v>
      </c>
      <c r="F56" s="7" t="str">
        <f aca="false">IF(COUNTIFS($A$5:$A$100,A56,$D$5:$D$100,D56)&gt;1,"Repetida","OK")</f>
        <v>OK</v>
      </c>
    </row>
    <row r="57" customFormat="false" ht="15" hidden="false" customHeight="false" outlineLevel="0" collapsed="false">
      <c r="A57" s="4" t="n">
        <v>7</v>
      </c>
      <c r="B57" s="5" t="s">
        <v>70</v>
      </c>
      <c r="C57" s="5" t="s">
        <v>75</v>
      </c>
      <c r="D57" s="6" t="s">
        <v>18</v>
      </c>
      <c r="E57" s="4" t="str">
        <f aca="false">IFERROR(INDEX(Modalidades!$B$5:$B$12,MATCH(D57,Modalidades!$A$5:$A$12,0)),"?")</f>
        <v>#18</v>
      </c>
      <c r="F57" s="7" t="str">
        <f aca="false">IF(COUNTIFS($A$5:$A$100,A57,$D$5:$D$100,D57)&gt;1,"Repetida","OK")</f>
        <v>OK</v>
      </c>
    </row>
    <row r="58" customFormat="false" ht="15" hidden="false" customHeight="false" outlineLevel="0" collapsed="false">
      <c r="A58" s="4" t="n">
        <v>7</v>
      </c>
      <c r="B58" s="5" t="s">
        <v>70</v>
      </c>
      <c r="C58" s="5" t="s">
        <v>76</v>
      </c>
      <c r="D58" s="6" t="s">
        <v>20</v>
      </c>
      <c r="E58" s="4" t="str">
        <f aca="false">IFERROR(INDEX(Modalidades!$B$5:$B$12,MATCH(D58,Modalidades!$A$5:$A$12,0)),"?")</f>
        <v>#04</v>
      </c>
      <c r="F58" s="7" t="str">
        <f aca="false">IF(COUNTIFS($A$5:$A$100,A58,$D$5:$D$100,D58)&gt;1,"Repetida","OK")</f>
        <v>OK</v>
      </c>
    </row>
    <row r="59" customFormat="false" ht="15" hidden="false" customHeight="false" outlineLevel="0" collapsed="false">
      <c r="A59" s="4" t="n">
        <v>7</v>
      </c>
      <c r="B59" s="5" t="s">
        <v>70</v>
      </c>
      <c r="C59" s="5" t="s">
        <v>77</v>
      </c>
      <c r="D59" s="6" t="s">
        <v>22</v>
      </c>
      <c r="E59" s="4" t="str">
        <f aca="false">IFERROR(INDEX(Modalidades!$B$5:$B$12,MATCH(D59,Modalidades!$A$5:$A$12,0)),"?")</f>
        <v>#48</v>
      </c>
      <c r="F59" s="7" t="str">
        <f aca="false">IF(COUNTIFS($A$5:$A$100,A59,$D$5:$D$100,D59)&gt;1,"Repetida","OK")</f>
        <v>OK</v>
      </c>
    </row>
    <row r="60" customFormat="false" ht="15" hidden="false" customHeight="false" outlineLevel="0" collapsed="false">
      <c r="A60" s="4" t="n">
        <v>7</v>
      </c>
      <c r="B60" s="5" t="s">
        <v>70</v>
      </c>
      <c r="C60" s="5" t="s">
        <v>78</v>
      </c>
      <c r="D60" s="6" t="s">
        <v>24</v>
      </c>
      <c r="E60" s="4" t="str">
        <f aca="false">IFERROR(INDEX(Modalidades!$B$5:$B$12,MATCH(D60,Modalidades!$A$5:$A$12,0)),"?")</f>
        <v>#59</v>
      </c>
      <c r="F60" s="7" t="str">
        <f aca="false">IF(COUNTIFS($A$5:$A$100,A60,$D$5:$D$100,D60)&gt;1,"Repetida","OK")</f>
        <v>OK</v>
      </c>
    </row>
    <row r="61" customFormat="false" ht="15" hidden="false" customHeight="false" outlineLevel="0" collapsed="false">
      <c r="A61" s="4" t="n">
        <v>8</v>
      </c>
      <c r="B61" s="5" t="s">
        <v>79</v>
      </c>
      <c r="C61" s="5" t="s">
        <v>80</v>
      </c>
      <c r="D61" s="6" t="s">
        <v>10</v>
      </c>
      <c r="E61" s="4" t="str">
        <f aca="false">IFERROR(INDEX(Modalidades!$B$5:$B$12,MATCH(D61,Modalidades!$A$5:$A$12,0)),"?")</f>
        <v>#50</v>
      </c>
      <c r="F61" s="7" t="str">
        <f aca="false">IF(COUNTIFS($A$5:$A$100,A61,$D$5:$D$100,D61)&gt;1,"Repetida","OK")</f>
        <v>OK</v>
      </c>
    </row>
    <row r="62" customFormat="false" ht="23.85" hidden="false" customHeight="false" outlineLevel="0" collapsed="false">
      <c r="A62" s="4" t="n">
        <v>8</v>
      </c>
      <c r="B62" s="5" t="s">
        <v>79</v>
      </c>
      <c r="C62" s="5" t="s">
        <v>81</v>
      </c>
      <c r="D62" s="6" t="s">
        <v>12</v>
      </c>
      <c r="E62" s="4" t="str">
        <f aca="false">IFERROR(INDEX(Modalidades!$B$5:$B$12,MATCH(D62,Modalidades!$A$5:$A$12,0)),"?")</f>
        <v>#08</v>
      </c>
      <c r="F62" s="7" t="str">
        <f aca="false">IF(COUNTIFS($A$5:$A$100,A62,$D$5:$D$100,D62)&gt;1,"Repetida","OK")</f>
        <v>OK</v>
      </c>
    </row>
    <row r="63" customFormat="false" ht="15" hidden="false" customHeight="false" outlineLevel="0" collapsed="false">
      <c r="A63" s="4" t="n">
        <v>8</v>
      </c>
      <c r="B63" s="5" t="s">
        <v>79</v>
      </c>
      <c r="C63" s="5" t="s">
        <v>82</v>
      </c>
      <c r="D63" s="6" t="s">
        <v>14</v>
      </c>
      <c r="E63" s="4" t="str">
        <f aca="false">IFERROR(INDEX(Modalidades!$B$5:$B$12,MATCH(D63,Modalidades!$A$5:$A$12,0)),"?")</f>
        <v>#17</v>
      </c>
      <c r="F63" s="7" t="str">
        <f aca="false">IF(COUNTIFS($A$5:$A$100,A63,$D$5:$D$100,D63)&gt;1,"Repetida","OK")</f>
        <v>OK</v>
      </c>
    </row>
    <row r="64" customFormat="false" ht="15" hidden="false" customHeight="false" outlineLevel="0" collapsed="false">
      <c r="A64" s="4" t="n">
        <v>8</v>
      </c>
      <c r="B64" s="5" t="s">
        <v>79</v>
      </c>
      <c r="C64" s="5" t="s">
        <v>83</v>
      </c>
      <c r="D64" s="6" t="s">
        <v>16</v>
      </c>
      <c r="E64" s="4" t="str">
        <f aca="false">IFERROR(INDEX(Modalidades!$B$5:$B$12,MATCH(D64,Modalidades!$A$5:$A$12,0)),"?")</f>
        <v>#19</v>
      </c>
      <c r="F64" s="7" t="str">
        <f aca="false">IF(COUNTIFS($A$5:$A$100,A64,$D$5:$D$100,D64)&gt;1,"Repetida","OK")</f>
        <v>OK</v>
      </c>
    </row>
    <row r="65" customFormat="false" ht="15" hidden="false" customHeight="false" outlineLevel="0" collapsed="false">
      <c r="A65" s="4" t="n">
        <v>8</v>
      </c>
      <c r="B65" s="5" t="s">
        <v>79</v>
      </c>
      <c r="C65" s="5" t="s">
        <v>84</v>
      </c>
      <c r="D65" s="6" t="s">
        <v>18</v>
      </c>
      <c r="E65" s="4" t="str">
        <f aca="false">IFERROR(INDEX(Modalidades!$B$5:$B$12,MATCH(D65,Modalidades!$A$5:$A$12,0)),"?")</f>
        <v>#18</v>
      </c>
      <c r="F65" s="7" t="str">
        <f aca="false">IF(COUNTIFS($A$5:$A$100,A65,$D$5:$D$100,D65)&gt;1,"Repetida","OK")</f>
        <v>OK</v>
      </c>
    </row>
    <row r="66" customFormat="false" ht="15" hidden="false" customHeight="false" outlineLevel="0" collapsed="false">
      <c r="A66" s="4" t="n">
        <v>8</v>
      </c>
      <c r="B66" s="5" t="s">
        <v>79</v>
      </c>
      <c r="C66" s="5" t="s">
        <v>85</v>
      </c>
      <c r="D66" s="6" t="s">
        <v>20</v>
      </c>
      <c r="E66" s="4" t="str">
        <f aca="false">IFERROR(INDEX(Modalidades!$B$5:$B$12,MATCH(D66,Modalidades!$A$5:$A$12,0)),"?")</f>
        <v>#04</v>
      </c>
      <c r="F66" s="7" t="str">
        <f aca="false">IF(COUNTIFS($A$5:$A$100,A66,$D$5:$D$100,D66)&gt;1,"Repetida","OK")</f>
        <v>OK</v>
      </c>
    </row>
    <row r="67" customFormat="false" ht="15" hidden="false" customHeight="false" outlineLevel="0" collapsed="false">
      <c r="A67" s="4" t="n">
        <v>8</v>
      </c>
      <c r="B67" s="5" t="s">
        <v>79</v>
      </c>
      <c r="C67" s="5" t="s">
        <v>86</v>
      </c>
      <c r="D67" s="6" t="s">
        <v>22</v>
      </c>
      <c r="E67" s="4" t="str">
        <f aca="false">IFERROR(INDEX(Modalidades!$B$5:$B$12,MATCH(D67,Modalidades!$A$5:$A$12,0)),"?")</f>
        <v>#48</v>
      </c>
      <c r="F67" s="7" t="str">
        <f aca="false">IF(COUNTIFS($A$5:$A$100,A67,$D$5:$D$100,D67)&gt;1,"Repetida","OK")</f>
        <v>OK</v>
      </c>
    </row>
    <row r="68" customFormat="false" ht="15" hidden="false" customHeight="false" outlineLevel="0" collapsed="false">
      <c r="A68" s="4" t="n">
        <v>8</v>
      </c>
      <c r="B68" s="5" t="s">
        <v>79</v>
      </c>
      <c r="C68" s="5" t="s">
        <v>87</v>
      </c>
      <c r="D68" s="6" t="s">
        <v>24</v>
      </c>
      <c r="E68" s="4" t="str">
        <f aca="false">IFERROR(INDEX(Modalidades!$B$5:$B$12,MATCH(D68,Modalidades!$A$5:$A$12,0)),"?")</f>
        <v>#59</v>
      </c>
      <c r="F68" s="7" t="str">
        <f aca="false">IF(COUNTIFS($A$5:$A$100,A68,$D$5:$D$100,D68)&gt;1,"Repetida","OK")</f>
        <v>OK</v>
      </c>
    </row>
    <row r="69" customFormat="false" ht="15" hidden="false" customHeight="false" outlineLevel="0" collapsed="false">
      <c r="A69" s="4" t="n">
        <v>9</v>
      </c>
      <c r="B69" s="5" t="s">
        <v>88</v>
      </c>
      <c r="C69" s="5" t="s">
        <v>89</v>
      </c>
      <c r="D69" s="6" t="s">
        <v>10</v>
      </c>
      <c r="E69" s="4" t="str">
        <f aca="false">IFERROR(INDEX(Modalidades!$B$5:$B$12,MATCH(D69,Modalidades!$A$5:$A$12,0)),"?")</f>
        <v>#50</v>
      </c>
      <c r="F69" s="7" t="str">
        <f aca="false">IF(COUNTIFS($A$5:$A$100,A69,$D$5:$D$100,D69)&gt;1,"Repetida","OK")</f>
        <v>OK</v>
      </c>
    </row>
    <row r="70" customFormat="false" ht="15" hidden="false" customHeight="false" outlineLevel="0" collapsed="false">
      <c r="A70" s="4" t="n">
        <v>9</v>
      </c>
      <c r="B70" s="5" t="s">
        <v>88</v>
      </c>
      <c r="C70" s="5" t="s">
        <v>90</v>
      </c>
      <c r="D70" s="6" t="s">
        <v>12</v>
      </c>
      <c r="E70" s="4" t="str">
        <f aca="false">IFERROR(INDEX(Modalidades!$B$5:$B$12,MATCH(D70,Modalidades!$A$5:$A$12,0)),"?")</f>
        <v>#08</v>
      </c>
      <c r="F70" s="7" t="str">
        <f aca="false">IF(COUNTIFS($A$5:$A$100,A70,$D$5:$D$100,D70)&gt;1,"Repetida","OK")</f>
        <v>OK</v>
      </c>
    </row>
    <row r="71" customFormat="false" ht="15" hidden="false" customHeight="false" outlineLevel="0" collapsed="false">
      <c r="A71" s="4" t="n">
        <v>9</v>
      </c>
      <c r="B71" s="5" t="s">
        <v>88</v>
      </c>
      <c r="C71" s="5" t="s">
        <v>91</v>
      </c>
      <c r="D71" s="6" t="s">
        <v>14</v>
      </c>
      <c r="E71" s="4" t="str">
        <f aca="false">IFERROR(INDEX(Modalidades!$B$5:$B$12,MATCH(D71,Modalidades!$A$5:$A$12,0)),"?")</f>
        <v>#17</v>
      </c>
      <c r="F71" s="7" t="str">
        <f aca="false">IF(COUNTIFS($A$5:$A$100,A71,$D$5:$D$100,D71)&gt;1,"Repetida","OK")</f>
        <v>OK</v>
      </c>
    </row>
    <row r="72" customFormat="false" ht="15" hidden="false" customHeight="false" outlineLevel="0" collapsed="false">
      <c r="A72" s="4" t="n">
        <v>9</v>
      </c>
      <c r="B72" s="5" t="s">
        <v>88</v>
      </c>
      <c r="C72" s="5" t="s">
        <v>92</v>
      </c>
      <c r="D72" s="6" t="s">
        <v>16</v>
      </c>
      <c r="E72" s="4" t="str">
        <f aca="false">IFERROR(INDEX(Modalidades!$B$5:$B$12,MATCH(D72,Modalidades!$A$5:$A$12,0)),"?")</f>
        <v>#19</v>
      </c>
      <c r="F72" s="7" t="str">
        <f aca="false">IF(COUNTIFS($A$5:$A$100,A72,$D$5:$D$100,D72)&gt;1,"Repetida","OK")</f>
        <v>OK</v>
      </c>
    </row>
    <row r="73" customFormat="false" ht="15" hidden="false" customHeight="false" outlineLevel="0" collapsed="false">
      <c r="A73" s="4" t="n">
        <v>9</v>
      </c>
      <c r="B73" s="5" t="s">
        <v>88</v>
      </c>
      <c r="C73" s="5" t="s">
        <v>93</v>
      </c>
      <c r="D73" s="6" t="s">
        <v>18</v>
      </c>
      <c r="E73" s="4" t="str">
        <f aca="false">IFERROR(INDEX(Modalidades!$B$5:$B$12,MATCH(D73,Modalidades!$A$5:$A$12,0)),"?")</f>
        <v>#18</v>
      </c>
      <c r="F73" s="7" t="str">
        <f aca="false">IF(COUNTIFS($A$5:$A$100,A73,$D$5:$D$100,D73)&gt;1,"Repetida","OK")</f>
        <v>OK</v>
      </c>
    </row>
    <row r="74" customFormat="false" ht="15" hidden="false" customHeight="false" outlineLevel="0" collapsed="false">
      <c r="A74" s="4" t="n">
        <v>9</v>
      </c>
      <c r="B74" s="5" t="s">
        <v>88</v>
      </c>
      <c r="C74" s="5" t="s">
        <v>94</v>
      </c>
      <c r="D74" s="6" t="s">
        <v>20</v>
      </c>
      <c r="E74" s="4" t="str">
        <f aca="false">IFERROR(INDEX(Modalidades!$B$5:$B$12,MATCH(D74,Modalidades!$A$5:$A$12,0)),"?")</f>
        <v>#04</v>
      </c>
      <c r="F74" s="7" t="str">
        <f aca="false">IF(COUNTIFS($A$5:$A$100,A74,$D$5:$D$100,D74)&gt;1,"Repetida","OK")</f>
        <v>OK</v>
      </c>
    </row>
    <row r="75" customFormat="false" ht="15" hidden="false" customHeight="false" outlineLevel="0" collapsed="false">
      <c r="A75" s="4" t="n">
        <v>9</v>
      </c>
      <c r="B75" s="5" t="s">
        <v>88</v>
      </c>
      <c r="C75" s="5" t="s">
        <v>95</v>
      </c>
      <c r="D75" s="6" t="s">
        <v>22</v>
      </c>
      <c r="E75" s="4" t="str">
        <f aca="false">IFERROR(INDEX(Modalidades!$B$5:$B$12,MATCH(D75,Modalidades!$A$5:$A$12,0)),"?")</f>
        <v>#48</v>
      </c>
      <c r="F75" s="7" t="str">
        <f aca="false">IF(COUNTIFS($A$5:$A$100,A75,$D$5:$D$100,D75)&gt;1,"Repetida","OK")</f>
        <v>OK</v>
      </c>
    </row>
    <row r="76" customFormat="false" ht="15" hidden="false" customHeight="false" outlineLevel="0" collapsed="false">
      <c r="A76" s="4" t="n">
        <v>9</v>
      </c>
      <c r="B76" s="5" t="s">
        <v>88</v>
      </c>
      <c r="C76" s="5" t="s">
        <v>96</v>
      </c>
      <c r="D76" s="6" t="s">
        <v>24</v>
      </c>
      <c r="E76" s="4" t="str">
        <f aca="false">IFERROR(INDEX(Modalidades!$B$5:$B$12,MATCH(D76,Modalidades!$A$5:$A$12,0)),"?")</f>
        <v>#59</v>
      </c>
      <c r="F76" s="7" t="str">
        <f aca="false">IF(COUNTIFS($A$5:$A$100,A76,$D$5:$D$100,D76)&gt;1,"Repetida","OK")</f>
        <v>OK</v>
      </c>
    </row>
    <row r="77" customFormat="false" ht="15" hidden="false" customHeight="false" outlineLevel="0" collapsed="false">
      <c r="A77" s="4" t="n">
        <v>10</v>
      </c>
      <c r="B77" s="5" t="s">
        <v>97</v>
      </c>
      <c r="C77" s="5" t="s">
        <v>98</v>
      </c>
      <c r="D77" s="6" t="s">
        <v>10</v>
      </c>
      <c r="E77" s="4" t="str">
        <f aca="false">IFERROR(INDEX(Modalidades!$B$5:$B$12,MATCH(D77,Modalidades!$A$5:$A$12,0)),"?")</f>
        <v>#50</v>
      </c>
      <c r="F77" s="7" t="str">
        <f aca="false">IF(COUNTIFS($A$5:$A$100,A77,$D$5:$D$100,D77)&gt;1,"Repetida","OK")</f>
        <v>OK</v>
      </c>
    </row>
    <row r="78" customFormat="false" ht="15" hidden="false" customHeight="false" outlineLevel="0" collapsed="false">
      <c r="A78" s="4" t="n">
        <v>10</v>
      </c>
      <c r="B78" s="5" t="s">
        <v>97</v>
      </c>
      <c r="C78" s="5" t="s">
        <v>99</v>
      </c>
      <c r="D78" s="6" t="s">
        <v>12</v>
      </c>
      <c r="E78" s="4" t="str">
        <f aca="false">IFERROR(INDEX(Modalidades!$B$5:$B$12,MATCH(D78,Modalidades!$A$5:$A$12,0)),"?")</f>
        <v>#08</v>
      </c>
      <c r="F78" s="7" t="str">
        <f aca="false">IF(COUNTIFS($A$5:$A$100,A78,$D$5:$D$100,D78)&gt;1,"Repetida","OK")</f>
        <v>OK</v>
      </c>
    </row>
    <row r="79" customFormat="false" ht="15" hidden="false" customHeight="false" outlineLevel="0" collapsed="false">
      <c r="A79" s="4" t="n">
        <v>10</v>
      </c>
      <c r="B79" s="5" t="s">
        <v>97</v>
      </c>
      <c r="C79" s="5" t="s">
        <v>100</v>
      </c>
      <c r="D79" s="6" t="s">
        <v>14</v>
      </c>
      <c r="E79" s="4" t="str">
        <f aca="false">IFERROR(INDEX(Modalidades!$B$5:$B$12,MATCH(D79,Modalidades!$A$5:$A$12,0)),"?")</f>
        <v>#17</v>
      </c>
      <c r="F79" s="7" t="str">
        <f aca="false">IF(COUNTIFS($A$5:$A$100,A79,$D$5:$D$100,D79)&gt;1,"Repetida","OK")</f>
        <v>OK</v>
      </c>
    </row>
    <row r="80" customFormat="false" ht="15" hidden="false" customHeight="false" outlineLevel="0" collapsed="false">
      <c r="A80" s="4" t="n">
        <v>10</v>
      </c>
      <c r="B80" s="5" t="s">
        <v>97</v>
      </c>
      <c r="C80" s="5" t="s">
        <v>101</v>
      </c>
      <c r="D80" s="6" t="s">
        <v>16</v>
      </c>
      <c r="E80" s="4" t="str">
        <f aca="false">IFERROR(INDEX(Modalidades!$B$5:$B$12,MATCH(D80,Modalidades!$A$5:$A$12,0)),"?")</f>
        <v>#19</v>
      </c>
      <c r="F80" s="7" t="str">
        <f aca="false">IF(COUNTIFS($A$5:$A$100,A80,$D$5:$D$100,D80)&gt;1,"Repetida","OK")</f>
        <v>OK</v>
      </c>
    </row>
    <row r="81" customFormat="false" ht="15" hidden="false" customHeight="false" outlineLevel="0" collapsed="false">
      <c r="A81" s="4" t="n">
        <v>10</v>
      </c>
      <c r="B81" s="5" t="s">
        <v>97</v>
      </c>
      <c r="C81" s="5" t="s">
        <v>102</v>
      </c>
      <c r="D81" s="6" t="s">
        <v>18</v>
      </c>
      <c r="E81" s="4" t="str">
        <f aca="false">IFERROR(INDEX(Modalidades!$B$5:$B$12,MATCH(D81,Modalidades!$A$5:$A$12,0)),"?")</f>
        <v>#18</v>
      </c>
      <c r="F81" s="7" t="str">
        <f aca="false">IF(COUNTIFS($A$5:$A$100,A81,$D$5:$D$100,D81)&gt;1,"Repetida","OK")</f>
        <v>OK</v>
      </c>
    </row>
    <row r="82" customFormat="false" ht="15" hidden="false" customHeight="false" outlineLevel="0" collapsed="false">
      <c r="A82" s="4" t="n">
        <v>10</v>
      </c>
      <c r="B82" s="5" t="s">
        <v>97</v>
      </c>
      <c r="C82" s="5" t="s">
        <v>103</v>
      </c>
      <c r="D82" s="6" t="s">
        <v>20</v>
      </c>
      <c r="E82" s="4" t="str">
        <f aca="false">IFERROR(INDEX(Modalidades!$B$5:$B$12,MATCH(D82,Modalidades!$A$5:$A$12,0)),"?")</f>
        <v>#04</v>
      </c>
      <c r="F82" s="7" t="str">
        <f aca="false">IF(COUNTIFS($A$5:$A$100,A82,$D$5:$D$100,D82)&gt;1,"Repetida","OK")</f>
        <v>OK</v>
      </c>
    </row>
    <row r="83" customFormat="false" ht="15" hidden="false" customHeight="false" outlineLevel="0" collapsed="false">
      <c r="A83" s="4" t="n">
        <v>10</v>
      </c>
      <c r="B83" s="5" t="s">
        <v>97</v>
      </c>
      <c r="C83" s="5" t="s">
        <v>104</v>
      </c>
      <c r="D83" s="6" t="s">
        <v>22</v>
      </c>
      <c r="E83" s="4" t="str">
        <f aca="false">IFERROR(INDEX(Modalidades!$B$5:$B$12,MATCH(D83,Modalidades!$A$5:$A$12,0)),"?")</f>
        <v>#48</v>
      </c>
      <c r="F83" s="7" t="str">
        <f aca="false">IF(COUNTIFS($A$5:$A$100,A83,$D$5:$D$100,D83)&gt;1,"Repetida","OK")</f>
        <v>OK</v>
      </c>
    </row>
    <row r="84" customFormat="false" ht="15" hidden="false" customHeight="false" outlineLevel="0" collapsed="false">
      <c r="A84" s="4" t="n">
        <v>10</v>
      </c>
      <c r="B84" s="5" t="s">
        <v>97</v>
      </c>
      <c r="C84" s="5" t="s">
        <v>105</v>
      </c>
      <c r="D84" s="6" t="s">
        <v>24</v>
      </c>
      <c r="E84" s="4" t="str">
        <f aca="false">IFERROR(INDEX(Modalidades!$B$5:$B$12,MATCH(D84,Modalidades!$A$5:$A$12,0)),"?")</f>
        <v>#59</v>
      </c>
      <c r="F84" s="7" t="str">
        <f aca="false">IF(COUNTIFS($A$5:$A$100,A84,$D$5:$D$100,D84)&gt;1,"Repetida","OK")</f>
        <v>OK</v>
      </c>
    </row>
    <row r="85" customFormat="false" ht="15" hidden="false" customHeight="false" outlineLevel="0" collapsed="false">
      <c r="A85" s="4" t="n">
        <v>11</v>
      </c>
      <c r="B85" s="5" t="s">
        <v>106</v>
      </c>
      <c r="C85" s="5" t="s">
        <v>107</v>
      </c>
      <c r="D85" s="6" t="s">
        <v>10</v>
      </c>
      <c r="E85" s="4" t="str">
        <f aca="false">IFERROR(INDEX(Modalidades!$B$5:$B$12,MATCH(D85,Modalidades!$A$5:$A$12,0)),"?")</f>
        <v>#50</v>
      </c>
      <c r="F85" s="7" t="str">
        <f aca="false">IF(COUNTIFS($A$5:$A$100,A85,$D$5:$D$100,D85)&gt;1,"Repetida","OK")</f>
        <v>OK</v>
      </c>
    </row>
    <row r="86" customFormat="false" ht="15" hidden="false" customHeight="false" outlineLevel="0" collapsed="false">
      <c r="A86" s="4" t="n">
        <v>11</v>
      </c>
      <c r="B86" s="5" t="s">
        <v>106</v>
      </c>
      <c r="C86" s="5" t="s">
        <v>108</v>
      </c>
      <c r="D86" s="6" t="s">
        <v>12</v>
      </c>
      <c r="E86" s="4" t="str">
        <f aca="false">IFERROR(INDEX(Modalidades!$B$5:$B$12,MATCH(D86,Modalidades!$A$5:$A$12,0)),"?")</f>
        <v>#08</v>
      </c>
      <c r="F86" s="7" t="str">
        <f aca="false">IF(COUNTIFS($A$5:$A$100,A86,$D$5:$D$100,D86)&gt;1,"Repetida","OK")</f>
        <v>OK</v>
      </c>
    </row>
    <row r="87" customFormat="false" ht="15" hidden="false" customHeight="false" outlineLevel="0" collapsed="false">
      <c r="A87" s="4" t="n">
        <v>11</v>
      </c>
      <c r="B87" s="5" t="s">
        <v>106</v>
      </c>
      <c r="C87" s="5" t="s">
        <v>109</v>
      </c>
      <c r="D87" s="6" t="s">
        <v>14</v>
      </c>
      <c r="E87" s="4" t="str">
        <f aca="false">IFERROR(INDEX(Modalidades!$B$5:$B$12,MATCH(D87,Modalidades!$A$5:$A$12,0)),"?")</f>
        <v>#17</v>
      </c>
      <c r="F87" s="7" t="str">
        <f aca="false">IF(COUNTIFS($A$5:$A$100,A87,$D$5:$D$100,D87)&gt;1,"Repetida","OK")</f>
        <v>OK</v>
      </c>
    </row>
    <row r="88" customFormat="false" ht="15" hidden="false" customHeight="false" outlineLevel="0" collapsed="false">
      <c r="A88" s="4" t="n">
        <v>11</v>
      </c>
      <c r="B88" s="5" t="s">
        <v>106</v>
      </c>
      <c r="C88" s="5" t="s">
        <v>110</v>
      </c>
      <c r="D88" s="6" t="s">
        <v>16</v>
      </c>
      <c r="E88" s="4" t="str">
        <f aca="false">IFERROR(INDEX(Modalidades!$B$5:$B$12,MATCH(D88,Modalidades!$A$5:$A$12,0)),"?")</f>
        <v>#19</v>
      </c>
      <c r="F88" s="7" t="str">
        <f aca="false">IF(COUNTIFS($A$5:$A$100,A88,$D$5:$D$100,D88)&gt;1,"Repetida","OK")</f>
        <v>OK</v>
      </c>
    </row>
    <row r="89" customFormat="false" ht="15" hidden="false" customHeight="false" outlineLevel="0" collapsed="false">
      <c r="A89" s="4" t="n">
        <v>11</v>
      </c>
      <c r="B89" s="5" t="s">
        <v>106</v>
      </c>
      <c r="C89" s="5" t="s">
        <v>111</v>
      </c>
      <c r="D89" s="6" t="s">
        <v>18</v>
      </c>
      <c r="E89" s="4" t="str">
        <f aca="false">IFERROR(INDEX(Modalidades!$B$5:$B$12,MATCH(D89,Modalidades!$A$5:$A$12,0)),"?")</f>
        <v>#18</v>
      </c>
      <c r="F89" s="7" t="str">
        <f aca="false">IF(COUNTIFS($A$5:$A$100,A89,$D$5:$D$100,D89)&gt;1,"Repetida","OK")</f>
        <v>OK</v>
      </c>
    </row>
    <row r="90" customFormat="false" ht="15" hidden="false" customHeight="false" outlineLevel="0" collapsed="false">
      <c r="A90" s="4" t="n">
        <v>11</v>
      </c>
      <c r="B90" s="5" t="s">
        <v>106</v>
      </c>
      <c r="C90" s="5" t="s">
        <v>112</v>
      </c>
      <c r="D90" s="6" t="s">
        <v>20</v>
      </c>
      <c r="E90" s="4" t="str">
        <f aca="false">IFERROR(INDEX(Modalidades!$B$5:$B$12,MATCH(D90,Modalidades!$A$5:$A$12,0)),"?")</f>
        <v>#04</v>
      </c>
      <c r="F90" s="7" t="str">
        <f aca="false">IF(COUNTIFS($A$5:$A$100,A90,$D$5:$D$100,D90)&gt;1,"Repetida","OK")</f>
        <v>OK</v>
      </c>
    </row>
    <row r="91" customFormat="false" ht="15" hidden="false" customHeight="false" outlineLevel="0" collapsed="false">
      <c r="A91" s="4" t="n">
        <v>11</v>
      </c>
      <c r="B91" s="5" t="s">
        <v>106</v>
      </c>
      <c r="C91" s="5" t="s">
        <v>113</v>
      </c>
      <c r="D91" s="6" t="s">
        <v>22</v>
      </c>
      <c r="E91" s="4" t="str">
        <f aca="false">IFERROR(INDEX(Modalidades!$B$5:$B$12,MATCH(D91,Modalidades!$A$5:$A$12,0)),"?")</f>
        <v>#48</v>
      </c>
      <c r="F91" s="7" t="str">
        <f aca="false">IF(COUNTIFS($A$5:$A$100,A91,$D$5:$D$100,D91)&gt;1,"Repetida","OK")</f>
        <v>OK</v>
      </c>
    </row>
    <row r="92" customFormat="false" ht="15" hidden="false" customHeight="false" outlineLevel="0" collapsed="false">
      <c r="A92" s="4" t="n">
        <v>11</v>
      </c>
      <c r="B92" s="5" t="s">
        <v>106</v>
      </c>
      <c r="C92" s="5" t="s">
        <v>114</v>
      </c>
      <c r="D92" s="6" t="s">
        <v>24</v>
      </c>
      <c r="E92" s="4" t="str">
        <f aca="false">IFERROR(INDEX(Modalidades!$B$5:$B$12,MATCH(D92,Modalidades!$A$5:$A$12,0)),"?")</f>
        <v>#59</v>
      </c>
      <c r="F92" s="7" t="str">
        <f aca="false">IF(COUNTIFS($A$5:$A$100,A92,$D$5:$D$100,D92)&gt;1,"Repetida","OK")</f>
        <v>OK</v>
      </c>
    </row>
    <row r="93" customFormat="false" ht="23.85" hidden="false" customHeight="false" outlineLevel="0" collapsed="false">
      <c r="A93" s="4" t="n">
        <v>12</v>
      </c>
      <c r="B93" s="5" t="s">
        <v>115</v>
      </c>
      <c r="C93" s="5" t="s">
        <v>116</v>
      </c>
      <c r="D93" s="6" t="s">
        <v>10</v>
      </c>
      <c r="E93" s="4" t="str">
        <f aca="false">IFERROR(INDEX(Modalidades!$B$5:$B$12,MATCH(D93,Modalidades!$A$5:$A$12,0)),"?")</f>
        <v>#50</v>
      </c>
      <c r="F93" s="7" t="str">
        <f aca="false">IF(COUNTIFS($A$5:$A$100,A93,$D$5:$D$100,D93)&gt;1,"Repetida","OK")</f>
        <v>OK</v>
      </c>
    </row>
    <row r="94" customFormat="false" ht="23.85" hidden="false" customHeight="false" outlineLevel="0" collapsed="false">
      <c r="A94" s="4" t="n">
        <v>12</v>
      </c>
      <c r="B94" s="5" t="s">
        <v>115</v>
      </c>
      <c r="C94" s="5" t="s">
        <v>117</v>
      </c>
      <c r="D94" s="6" t="s">
        <v>12</v>
      </c>
      <c r="E94" s="4" t="str">
        <f aca="false">IFERROR(INDEX(Modalidades!$B$5:$B$12,MATCH(D94,Modalidades!$A$5:$A$12,0)),"?")</f>
        <v>#08</v>
      </c>
      <c r="F94" s="7" t="str">
        <f aca="false">IF(COUNTIFS($A$5:$A$100,A94,$D$5:$D$100,D94)&gt;1,"Repetida","OK")</f>
        <v>OK</v>
      </c>
    </row>
    <row r="95" customFormat="false" ht="23.85" hidden="false" customHeight="false" outlineLevel="0" collapsed="false">
      <c r="A95" s="4" t="n">
        <v>12</v>
      </c>
      <c r="B95" s="5" t="s">
        <v>115</v>
      </c>
      <c r="C95" s="5" t="s">
        <v>118</v>
      </c>
      <c r="D95" s="6" t="s">
        <v>14</v>
      </c>
      <c r="E95" s="4" t="str">
        <f aca="false">IFERROR(INDEX(Modalidades!$B$5:$B$12,MATCH(D95,Modalidades!$A$5:$A$12,0)),"?")</f>
        <v>#17</v>
      </c>
      <c r="F95" s="7" t="str">
        <f aca="false">IF(COUNTIFS($A$5:$A$100,A95,$D$5:$D$100,D95)&gt;1,"Repetida","OK")</f>
        <v>OK</v>
      </c>
    </row>
    <row r="96" customFormat="false" ht="23.85" hidden="false" customHeight="false" outlineLevel="0" collapsed="false">
      <c r="A96" s="4" t="n">
        <v>12</v>
      </c>
      <c r="B96" s="5" t="s">
        <v>115</v>
      </c>
      <c r="C96" s="5" t="s">
        <v>119</v>
      </c>
      <c r="D96" s="6" t="s">
        <v>16</v>
      </c>
      <c r="E96" s="4" t="str">
        <f aca="false">IFERROR(INDEX(Modalidades!$B$5:$B$12,MATCH(D96,Modalidades!$A$5:$A$12,0)),"?")</f>
        <v>#19</v>
      </c>
      <c r="F96" s="7" t="str">
        <f aca="false">IF(COUNTIFS($A$5:$A$100,A96,$D$5:$D$100,D96)&gt;1,"Repetida","OK")</f>
        <v>OK</v>
      </c>
    </row>
    <row r="97" customFormat="false" ht="23.85" hidden="false" customHeight="false" outlineLevel="0" collapsed="false">
      <c r="A97" s="4" t="n">
        <v>12</v>
      </c>
      <c r="B97" s="5" t="s">
        <v>115</v>
      </c>
      <c r="C97" s="5" t="s">
        <v>120</v>
      </c>
      <c r="D97" s="6" t="s">
        <v>18</v>
      </c>
      <c r="E97" s="4" t="str">
        <f aca="false">IFERROR(INDEX(Modalidades!$B$5:$B$12,MATCH(D97,Modalidades!$A$5:$A$12,0)),"?")</f>
        <v>#18</v>
      </c>
      <c r="F97" s="7" t="str">
        <f aca="false">IF(COUNTIFS($A$5:$A$100,A97,$D$5:$D$100,D97)&gt;1,"Repetida","OK")</f>
        <v>OK</v>
      </c>
    </row>
    <row r="98" customFormat="false" ht="23.85" hidden="false" customHeight="false" outlineLevel="0" collapsed="false">
      <c r="A98" s="4" t="n">
        <v>12</v>
      </c>
      <c r="B98" s="5" t="s">
        <v>115</v>
      </c>
      <c r="C98" s="5" t="s">
        <v>121</v>
      </c>
      <c r="D98" s="6" t="s">
        <v>20</v>
      </c>
      <c r="E98" s="4" t="str">
        <f aca="false">IFERROR(INDEX(Modalidades!$B$5:$B$12,MATCH(D98,Modalidades!$A$5:$A$12,0)),"?")</f>
        <v>#04</v>
      </c>
      <c r="F98" s="7" t="str">
        <f aca="false">IF(COUNTIFS($A$5:$A$100,A98,$D$5:$D$100,D98)&gt;1,"Repetida","OK")</f>
        <v>OK</v>
      </c>
    </row>
    <row r="99" customFormat="false" ht="23.85" hidden="false" customHeight="false" outlineLevel="0" collapsed="false">
      <c r="A99" s="4" t="n">
        <v>12</v>
      </c>
      <c r="B99" s="5" t="s">
        <v>115</v>
      </c>
      <c r="C99" s="5" t="s">
        <v>122</v>
      </c>
      <c r="D99" s="6" t="s">
        <v>22</v>
      </c>
      <c r="E99" s="4" t="str">
        <f aca="false">IFERROR(INDEX(Modalidades!$B$5:$B$12,MATCH(D99,Modalidades!$A$5:$A$12,0)),"?")</f>
        <v>#48</v>
      </c>
      <c r="F99" s="7" t="str">
        <f aca="false">IF(COUNTIFS($A$5:$A$100,A99,$D$5:$D$100,D99)&gt;1,"Repetida","OK")</f>
        <v>OK</v>
      </c>
    </row>
    <row r="100" customFormat="false" ht="23.85" hidden="false" customHeight="false" outlineLevel="0" collapsed="false">
      <c r="A100" s="4" t="n">
        <v>12</v>
      </c>
      <c r="B100" s="5" t="s">
        <v>115</v>
      </c>
      <c r="C100" s="5" t="s">
        <v>123</v>
      </c>
      <c r="D100" s="6" t="s">
        <v>24</v>
      </c>
      <c r="E100" s="4" t="str">
        <f aca="false">IFERROR(INDEX(Modalidades!$B$5:$B$12,MATCH(D100,Modalidades!$A$5:$A$12,0)),"?")</f>
        <v>#59</v>
      </c>
      <c r="F100" s="7" t="str">
        <f aca="false">IF(COUNTIFS($A$5:$A$100,A100,$D$5:$D$100,D100)&gt;1,"Repetida","OK")</f>
        <v>OK</v>
      </c>
    </row>
  </sheetData>
  <autoFilter ref="A4:F100"/>
  <mergeCells count="1">
    <mergeCell ref="A2:F2"/>
  </mergeCells>
  <conditionalFormatting sqref="F5:F100">
    <cfRule type="cellIs" priority="2" operator="equal" aboveAverage="0" equalAverage="0" bottom="0" percent="0" rank="0" text="" dxfId="4">
      <formula>"Repetida"</formula>
    </cfRule>
  </conditionalFormatting>
  <dataValidations count="1">
    <dataValidation allowBlank="false" error="Escolha uma modalidade da lista." errorStyle="stop" errorTitle="Modalidade inválida" operator="between" showDropDown="false" showErrorMessage="true" showInputMessage="false" sqref="D5:D100" type="list">
      <formula1>Modalidades!$A$5:$A$12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8" t="s">
        <v>125</v>
      </c>
    </row>
    <row r="4" customFormat="false" ht="15" hidden="false" customHeight="false" outlineLevel="0" collapsed="false">
      <c r="A4" s="9" t="s">
        <v>126</v>
      </c>
      <c r="B4" s="9" t="s">
        <v>6</v>
      </c>
      <c r="C4" s="9" t="s">
        <v>127</v>
      </c>
      <c r="D4" s="9" t="s">
        <v>128</v>
      </c>
    </row>
    <row r="5" customFormat="false" ht="15" hidden="false" customHeight="false" outlineLevel="0" collapsed="false">
      <c r="A5" s="10" t="s">
        <v>10</v>
      </c>
      <c r="B5" s="10" t="s">
        <v>129</v>
      </c>
      <c r="C5" s="10" t="s">
        <v>130</v>
      </c>
      <c r="D5" s="10" t="s">
        <v>131</v>
      </c>
    </row>
    <row r="6" customFormat="false" ht="15" hidden="false" customHeight="false" outlineLevel="0" collapsed="false">
      <c r="A6" s="10" t="s">
        <v>12</v>
      </c>
      <c r="B6" s="10" t="s">
        <v>132</v>
      </c>
      <c r="C6" s="10" t="s">
        <v>130</v>
      </c>
      <c r="D6" s="10" t="s">
        <v>133</v>
      </c>
    </row>
    <row r="7" customFormat="false" ht="15" hidden="false" customHeight="false" outlineLevel="0" collapsed="false">
      <c r="A7" s="10" t="s">
        <v>14</v>
      </c>
      <c r="B7" s="10" t="s">
        <v>134</v>
      </c>
      <c r="C7" s="10" t="s">
        <v>130</v>
      </c>
      <c r="D7" s="10" t="s">
        <v>135</v>
      </c>
    </row>
    <row r="8" customFormat="false" ht="15" hidden="false" customHeight="false" outlineLevel="0" collapsed="false">
      <c r="A8" s="10" t="s">
        <v>16</v>
      </c>
      <c r="B8" s="10" t="s">
        <v>136</v>
      </c>
      <c r="C8" s="10" t="s">
        <v>130</v>
      </c>
      <c r="D8" s="10" t="s">
        <v>137</v>
      </c>
    </row>
    <row r="9" customFormat="false" ht="15" hidden="false" customHeight="false" outlineLevel="0" collapsed="false">
      <c r="A9" s="10" t="s">
        <v>18</v>
      </c>
      <c r="B9" s="10" t="s">
        <v>138</v>
      </c>
      <c r="C9" s="10" t="s">
        <v>130</v>
      </c>
      <c r="D9" s="10" t="s">
        <v>139</v>
      </c>
    </row>
    <row r="10" customFormat="false" ht="15" hidden="false" customHeight="false" outlineLevel="0" collapsed="false">
      <c r="A10" s="10" t="s">
        <v>20</v>
      </c>
      <c r="B10" s="10" t="s">
        <v>140</v>
      </c>
      <c r="C10" s="10" t="s">
        <v>141</v>
      </c>
      <c r="D10" s="10" t="s">
        <v>142</v>
      </c>
    </row>
    <row r="11" customFormat="false" ht="15" hidden="false" customHeight="false" outlineLevel="0" collapsed="false">
      <c r="A11" s="10" t="s">
        <v>22</v>
      </c>
      <c r="B11" s="10" t="s">
        <v>143</v>
      </c>
      <c r="C11" s="10" t="s">
        <v>141</v>
      </c>
      <c r="D11" s="10" t="s">
        <v>144</v>
      </c>
    </row>
    <row r="12" customFormat="false" ht="15" hidden="false" customHeight="false" outlineLevel="0" collapsed="false">
      <c r="A12" s="10" t="s">
        <v>24</v>
      </c>
      <c r="B12" s="10" t="s">
        <v>145</v>
      </c>
      <c r="C12" s="10" t="s">
        <v>146</v>
      </c>
      <c r="D12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2026-10-16T21:19:24Z</dcterms:created>
  <dc:creator>openpyxl</dc:creator>
  <dc:description/>
  <dc:language>en-US</dc:language>
  <cp:lastModifiedBy/>
  <dcterms:modified xsi:type="dcterms:W3CDTF">2026-10-16T21:19:24Z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